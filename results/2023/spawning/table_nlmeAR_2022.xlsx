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EHOUX\Projects\Maquereau\mack_eggs\results\spawning\"/>
    </mc:Choice>
  </mc:AlternateContent>
  <xr:revisionPtr revIDLastSave="0" documentId="13_ncr:1_{9E047C30-AD1F-4D5E-80A7-420D6D17391B}" xr6:coauthVersionLast="47" xr6:coauthVersionMax="47" xr10:uidLastSave="{00000000-0000-0000-0000-000000000000}"/>
  <bookViews>
    <workbookView xWindow="22932" yWindow="-108" windowWidth="23256" windowHeight="12576" xr2:uid="{00000000-000D-0000-FFFF-FFFF00000000}"/>
  </bookViews>
  <sheets>
    <sheet name="table_nlmeAR_20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9" i="1" l="1"/>
  <c r="G60" i="1"/>
  <c r="H60" i="1"/>
  <c r="I60" i="1"/>
  <c r="J60" i="1"/>
  <c r="K60" i="1"/>
  <c r="L60" i="1"/>
  <c r="M60" i="1"/>
  <c r="N60" i="1"/>
  <c r="O60" i="1"/>
  <c r="P60" i="1"/>
  <c r="Q60" i="1"/>
  <c r="G61" i="1"/>
  <c r="H61" i="1"/>
  <c r="I61" i="1"/>
  <c r="J61" i="1"/>
  <c r="K61" i="1"/>
  <c r="L61" i="1"/>
  <c r="M61" i="1"/>
  <c r="N61" i="1"/>
  <c r="O61" i="1"/>
  <c r="P61" i="1"/>
  <c r="Q61" i="1"/>
  <c r="F61" i="1"/>
  <c r="F60" i="1"/>
  <c r="F59" i="1"/>
  <c r="C59" i="1"/>
  <c r="G59" i="1"/>
  <c r="H59" i="1"/>
  <c r="I59" i="1"/>
  <c r="J59" i="1"/>
  <c r="K59" i="1"/>
  <c r="L59" i="1"/>
  <c r="M59" i="1"/>
  <c r="N59" i="1"/>
  <c r="P59" i="1"/>
  <c r="Q59" i="1"/>
</calcChain>
</file>

<file path=xl/sharedStrings.xml><?xml version="1.0" encoding="utf-8"?>
<sst xmlns="http://schemas.openxmlformats.org/spreadsheetml/2006/main" count="190" uniqueCount="55">
  <si>
    <t>Asym</t>
  </si>
  <si>
    <t>xmid</t>
  </si>
  <si>
    <t>scal</t>
  </si>
  <si>
    <t>Late survey</t>
  </si>
  <si>
    <t>Early survey</t>
  </si>
  <si>
    <t>Logistic model parameters</t>
  </si>
  <si>
    <t>Year</t>
  </si>
  <si>
    <t>Spawning dates</t>
  </si>
  <si>
    <t>Survey</t>
  </si>
  <si>
    <t>Pass</t>
  </si>
  <si>
    <t>Survey timing</t>
  </si>
  <si>
    <t>During spawning</t>
  </si>
  <si>
    <t>Probability</t>
  </si>
  <si>
    <t>Duration</t>
  </si>
  <si>
    <t>No survey</t>
  </si>
  <si>
    <t>Survey data unavailable</t>
  </si>
  <si>
    <t>Dates</t>
  </si>
  <si>
    <t>Start</t>
  </si>
  <si>
    <t>End</t>
  </si>
  <si>
    <t>'06-23</t>
  </si>
  <si>
    <t>'07-02</t>
  </si>
  <si>
    <t>'06-21</t>
  </si>
  <si>
    <t>'06-29</t>
  </si>
  <si>
    <t>'06-22</t>
  </si>
  <si>
    <t>'07-01</t>
  </si>
  <si>
    <t>'06-20</t>
  </si>
  <si>
    <t>'06-27</t>
  </si>
  <si>
    <t>'06-17</t>
  </si>
  <si>
    <t>'06-26</t>
  </si>
  <si>
    <t>'06-18</t>
  </si>
  <si>
    <t>'06-25</t>
  </si>
  <si>
    <t>'07-04</t>
  </si>
  <si>
    <t>'06-16</t>
  </si>
  <si>
    <t>'06-28</t>
  </si>
  <si>
    <t>'06-24</t>
  </si>
  <si>
    <t>'06-15</t>
  </si>
  <si>
    <t>'06-14</t>
  </si>
  <si>
    <t>'06-30</t>
  </si>
  <si>
    <t>'06-13</t>
  </si>
  <si>
    <t>'06-19</t>
  </si>
  <si>
    <t>'06-11</t>
  </si>
  <si>
    <t>'07-08</t>
  </si>
  <si>
    <t>'06-10</t>
  </si>
  <si>
    <t>'06-12</t>
  </si>
  <si>
    <t>'06-07</t>
  </si>
  <si>
    <t>97.5% CI</t>
  </si>
  <si>
    <t>2.5 % CI</t>
  </si>
  <si>
    <t>15% CI</t>
  </si>
  <si>
    <t>85 % CI</t>
  </si>
  <si>
    <t>Proportion of egg spawned at median date (PESd)</t>
  </si>
  <si>
    <t>Average</t>
  </si>
  <si>
    <t>Median
 (doy)</t>
  </si>
  <si>
    <t>N 
stations</t>
  </si>
  <si>
    <t>Minimum</t>
  </si>
  <si>
    <t>Maximim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</si>
</sst>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Arial"/>
      <family val="2"/>
    </font>
    <font>
      <sz val="9"/>
      <color rgb="FF00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rgb="FFEA7B68"/>
        <bgColor indexed="64"/>
      </patternFill>
    </fill>
    <fill>
      <patternFill patternType="solid">
        <fgColor rgb="FF92CDDC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6">
    <xf numFmtId="0" fontId="0" fillId="0" borderId="0" xfId="0"/>
    <xf numFmtId="0" fontId="18" fillId="0" borderId="16" xfId="0" applyFont="1" applyBorder="1" applyAlignment="1">
      <alignment horizontal="center"/>
    </xf>
    <xf numFmtId="0" fontId="18" fillId="0" borderId="0" xfId="0" applyFont="1" applyAlignment="1">
      <alignment horizontal="center"/>
    </xf>
    <xf numFmtId="165" fontId="18" fillId="0" borderId="11" xfId="0" applyNumberFormat="1" applyFont="1" applyBorder="1" applyAlignment="1">
      <alignment horizontal="center"/>
    </xf>
    <xf numFmtId="165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0" borderId="0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0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8" fillId="0" borderId="11" xfId="0" applyFont="1" applyBorder="1" applyAlignment="1">
      <alignment vertical="center"/>
    </xf>
    <xf numFmtId="0" fontId="18" fillId="0" borderId="0" xfId="0" applyFont="1" applyBorder="1" applyAlignment="1">
      <alignment vertical="center"/>
    </xf>
    <xf numFmtId="0" fontId="18" fillId="0" borderId="13" xfId="0" applyFont="1" applyBorder="1" applyAlignment="1">
      <alignment vertical="center"/>
    </xf>
    <xf numFmtId="0" fontId="18" fillId="0" borderId="12" xfId="0" applyFont="1" applyBorder="1" applyAlignment="1">
      <alignment vertical="center"/>
    </xf>
    <xf numFmtId="0" fontId="18" fillId="0" borderId="14" xfId="0" applyFont="1" applyBorder="1" applyAlignment="1">
      <alignment vertical="center"/>
    </xf>
    <xf numFmtId="0" fontId="18" fillId="0" borderId="10" xfId="0" applyFont="1" applyBorder="1" applyAlignment="1"/>
    <xf numFmtId="9" fontId="18" fillId="0" borderId="15" xfId="0" applyNumberFormat="1" applyFont="1" applyBorder="1" applyAlignment="1"/>
    <xf numFmtId="164" fontId="18" fillId="0" borderId="0" xfId="0" applyNumberFormat="1" applyFont="1" applyBorder="1" applyAlignment="1">
      <alignment horizontal="center"/>
    </xf>
    <xf numFmtId="9" fontId="18" fillId="0" borderId="17" xfId="0" applyNumberFormat="1" applyFont="1" applyBorder="1" applyAlignment="1"/>
    <xf numFmtId="0" fontId="18" fillId="0" borderId="17" xfId="0" applyFont="1" applyBorder="1" applyAlignment="1"/>
    <xf numFmtId="0" fontId="18" fillId="0" borderId="17" xfId="0" applyFont="1" applyBorder="1" applyAlignment="1">
      <alignment horizontal="center"/>
    </xf>
    <xf numFmtId="0" fontId="18" fillId="0" borderId="10" xfId="0" applyFont="1" applyBorder="1" applyAlignment="1">
      <alignment horizontal="center" wrapText="1"/>
    </xf>
    <xf numFmtId="0" fontId="18" fillId="0" borderId="13" xfId="0" applyFont="1" applyBorder="1" applyAlignment="1">
      <alignment horizontal="center"/>
    </xf>
    <xf numFmtId="0" fontId="18" fillId="33" borderId="0" xfId="0" applyFont="1" applyFill="1" applyAlignment="1">
      <alignment horizontal="center"/>
    </xf>
    <xf numFmtId="0" fontId="18" fillId="33" borderId="11" xfId="0" applyFont="1" applyFill="1" applyBorder="1" applyAlignment="1">
      <alignment horizontal="center"/>
    </xf>
    <xf numFmtId="165" fontId="18" fillId="33" borderId="11" xfId="0" applyNumberFormat="1" applyFont="1" applyFill="1" applyBorder="1" applyAlignment="1">
      <alignment horizontal="center"/>
    </xf>
    <xf numFmtId="165" fontId="18" fillId="33" borderId="0" xfId="0" applyNumberFormat="1" applyFont="1" applyFill="1" applyAlignment="1">
      <alignment horizontal="center"/>
    </xf>
    <xf numFmtId="0" fontId="18" fillId="33" borderId="0" xfId="0" applyFont="1" applyFill="1" applyBorder="1" applyAlignment="1">
      <alignment horizontal="center"/>
    </xf>
    <xf numFmtId="0" fontId="18" fillId="33" borderId="13" xfId="0" applyFont="1" applyFill="1" applyBorder="1" applyAlignment="1">
      <alignment horizontal="center"/>
    </xf>
    <xf numFmtId="164" fontId="18" fillId="33" borderId="0" xfId="0" applyNumberFormat="1" applyFont="1" applyFill="1" applyBorder="1" applyAlignment="1">
      <alignment horizontal="center"/>
    </xf>
    <xf numFmtId="164" fontId="18" fillId="33" borderId="0" xfId="0" applyNumberFormat="1" applyFont="1" applyFill="1" applyAlignment="1">
      <alignment horizontal="center"/>
    </xf>
    <xf numFmtId="0" fontId="18" fillId="34" borderId="0" xfId="0" applyFont="1" applyFill="1" applyAlignment="1">
      <alignment horizontal="center"/>
    </xf>
    <xf numFmtId="0" fontId="18" fillId="34" borderId="11" xfId="0" applyFont="1" applyFill="1" applyBorder="1" applyAlignment="1">
      <alignment horizontal="center"/>
    </xf>
    <xf numFmtId="0" fontId="18" fillId="34" borderId="0" xfId="0" applyFont="1" applyFill="1" applyBorder="1" applyAlignment="1">
      <alignment horizontal="center"/>
    </xf>
    <xf numFmtId="165" fontId="18" fillId="34" borderId="11" xfId="0" applyNumberFormat="1" applyFont="1" applyFill="1" applyBorder="1" applyAlignment="1">
      <alignment horizontal="center"/>
    </xf>
    <xf numFmtId="165" fontId="18" fillId="34" borderId="0" xfId="0" applyNumberFormat="1" applyFont="1" applyFill="1" applyAlignment="1">
      <alignment horizontal="center"/>
    </xf>
    <xf numFmtId="0" fontId="18" fillId="34" borderId="13" xfId="0" applyFont="1" applyFill="1" applyBorder="1" applyAlignment="1">
      <alignment horizontal="center"/>
    </xf>
    <xf numFmtId="164" fontId="18" fillId="34" borderId="0" xfId="0" applyNumberFormat="1" applyFont="1" applyFill="1" applyBorder="1" applyAlignment="1">
      <alignment horizontal="center"/>
    </xf>
    <xf numFmtId="164" fontId="18" fillId="34" borderId="0" xfId="0" applyNumberFormat="1" applyFont="1" applyFill="1" applyAlignment="1">
      <alignment horizontal="center"/>
    </xf>
    <xf numFmtId="0" fontId="18" fillId="35" borderId="0" xfId="0" applyFont="1" applyFill="1" applyAlignment="1">
      <alignment horizontal="center"/>
    </xf>
    <xf numFmtId="0" fontId="18" fillId="35" borderId="11" xfId="0" applyFont="1" applyFill="1" applyBorder="1" applyAlignment="1">
      <alignment horizontal="center"/>
    </xf>
    <xf numFmtId="0" fontId="18" fillId="35" borderId="0" xfId="0" applyFont="1" applyFill="1" applyBorder="1" applyAlignment="1">
      <alignment horizontal="center"/>
    </xf>
    <xf numFmtId="165" fontId="18" fillId="35" borderId="11" xfId="0" applyNumberFormat="1" applyFont="1" applyFill="1" applyBorder="1" applyAlignment="1">
      <alignment horizontal="center"/>
    </xf>
    <xf numFmtId="165" fontId="18" fillId="35" borderId="0" xfId="0" applyNumberFormat="1" applyFont="1" applyFill="1" applyAlignment="1">
      <alignment horizontal="center"/>
    </xf>
    <xf numFmtId="0" fontId="18" fillId="35" borderId="13" xfId="0" applyFont="1" applyFill="1" applyBorder="1" applyAlignment="1">
      <alignment horizontal="center"/>
    </xf>
    <xf numFmtId="164" fontId="18" fillId="35" borderId="0" xfId="0" applyNumberFormat="1" applyFont="1" applyFill="1" applyBorder="1" applyAlignment="1">
      <alignment horizontal="center"/>
    </xf>
    <xf numFmtId="164" fontId="18" fillId="35" borderId="0" xfId="0" applyNumberFormat="1" applyFont="1" applyFill="1" applyAlignment="1">
      <alignment horizontal="center"/>
    </xf>
    <xf numFmtId="0" fontId="18" fillId="0" borderId="11" xfId="0" applyFont="1" applyBorder="1" applyAlignment="1">
      <alignment horizontal="center"/>
    </xf>
    <xf numFmtId="0" fontId="18" fillId="0" borderId="0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1" xfId="0" applyFont="1" applyBorder="1" applyAlignment="1">
      <alignment horizontal="center" vertical="center"/>
    </xf>
    <xf numFmtId="0" fontId="18" fillId="0" borderId="0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/>
    </xf>
    <xf numFmtId="0" fontId="19" fillId="0" borderId="0" xfId="0" applyFont="1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19" fillId="0" borderId="10" xfId="0" applyFont="1" applyBorder="1" applyAlignment="1">
      <alignment horizontal="center"/>
    </xf>
    <xf numFmtId="0" fontId="19" fillId="0" borderId="14" xfId="0" applyFont="1" applyBorder="1" applyAlignment="1">
      <alignment horizontal="center"/>
    </xf>
    <xf numFmtId="0" fontId="18" fillId="0" borderId="11" xfId="0" applyFont="1" applyBorder="1" applyAlignment="1">
      <alignment horizontal="center" wrapText="1"/>
    </xf>
    <xf numFmtId="0" fontId="18" fillId="0" borderId="0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0" xfId="0" applyFont="1" applyBorder="1" applyAlignment="1">
      <alignment horizontal="center" wrapText="1"/>
    </xf>
    <xf numFmtId="1" fontId="18" fillId="0" borderId="0" xfId="0" applyNumberFormat="1" applyFont="1" applyAlignment="1">
      <alignment horizontal="center"/>
    </xf>
    <xf numFmtId="0" fontId="18" fillId="0" borderId="0" xfId="0" applyFont="1" applyBorder="1"/>
    <xf numFmtId="0" fontId="18" fillId="0" borderId="0" xfId="0" applyFont="1"/>
    <xf numFmtId="0" fontId="18" fillId="0" borderId="11" xfId="0" applyFont="1" applyBorder="1" applyAlignment="1"/>
    <xf numFmtId="0" fontId="18" fillId="0" borderId="0" xfId="0" applyFont="1" applyBorder="1" applyAlignment="1"/>
    <xf numFmtId="0" fontId="18" fillId="0" borderId="10" xfId="0" applyFont="1" applyBorder="1"/>
    <xf numFmtId="0" fontId="18" fillId="34" borderId="0" xfId="0" applyFont="1" applyFill="1" applyBorder="1"/>
    <xf numFmtId="0" fontId="18" fillId="34" borderId="0" xfId="0" applyFont="1" applyFill="1"/>
    <xf numFmtId="0" fontId="18" fillId="35" borderId="0" xfId="0" applyFont="1" applyFill="1" applyBorder="1"/>
    <xf numFmtId="0" fontId="18" fillId="35" borderId="0" xfId="0" applyFont="1" applyFill="1"/>
    <xf numFmtId="0" fontId="18" fillId="33" borderId="0" xfId="0" applyFont="1" applyFill="1"/>
    <xf numFmtId="0" fontId="18" fillId="33" borderId="0" xfId="0" applyFont="1" applyFill="1" applyBorder="1"/>
    <xf numFmtId="0" fontId="18" fillId="0" borderId="12" xfId="0" applyFont="1" applyBorder="1" applyAlignment="1">
      <alignment horizontal="center" vertic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colors>
    <mruColors>
      <color rgb="FF92CDDC"/>
      <color rgb="FFEA7B68"/>
      <color rgb="FFEA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1"/>
  <sheetViews>
    <sheetView tabSelected="1" topLeftCell="A34" workbookViewId="0">
      <selection activeCell="I47" sqref="I47"/>
    </sheetView>
  </sheetViews>
  <sheetFormatPr baseColWidth="10" defaultRowHeight="13.05" customHeight="1" x14ac:dyDescent="0.2"/>
  <cols>
    <col min="1" max="1" width="6.6640625" style="2" bestFit="1" customWidth="1"/>
    <col min="2" max="2" width="4.5546875" style="11" bestFit="1" customWidth="1"/>
    <col min="3" max="3" width="7.109375" style="2" customWidth="1"/>
    <col min="4" max="5" width="7.109375" style="8" customWidth="1"/>
    <col min="6" max="6" width="8.33203125" style="2" customWidth="1"/>
    <col min="7" max="7" width="6.109375" style="11" customWidth="1"/>
    <col min="8" max="8" width="6.109375" style="2" customWidth="1"/>
    <col min="9" max="9" width="7.6640625" style="2" customWidth="1"/>
    <col min="10" max="10" width="6.88671875" style="11" bestFit="1" customWidth="1"/>
    <col min="11" max="11" width="6" style="8" bestFit="1" customWidth="1"/>
    <col min="12" max="12" width="6.44140625" style="8" bestFit="1" customWidth="1"/>
    <col min="13" max="13" width="7.33203125" style="8" bestFit="1" customWidth="1"/>
    <col min="14" max="14" width="6.88671875" style="24" bestFit="1" customWidth="1"/>
    <col min="15" max="15" width="8.44140625" style="8" customWidth="1"/>
    <col min="16" max="17" width="8.44140625" style="2" customWidth="1"/>
    <col min="18" max="18" width="11.44140625" style="74"/>
    <col min="19" max="22" width="11.5546875" style="75"/>
    <col min="23" max="23" width="12.88671875" style="2" bestFit="1" customWidth="1"/>
    <col min="24" max="16384" width="11.5546875" style="75"/>
  </cols>
  <sheetData>
    <row r="1" spans="1:23" ht="13.05" customHeight="1" x14ac:dyDescent="0.2">
      <c r="A1" s="54" t="s">
        <v>6</v>
      </c>
      <c r="B1" s="85" t="s">
        <v>8</v>
      </c>
      <c r="C1" s="62"/>
      <c r="D1" s="62"/>
      <c r="E1" s="62"/>
      <c r="F1" s="61"/>
      <c r="G1" s="55" t="s">
        <v>5</v>
      </c>
      <c r="H1" s="56"/>
      <c r="I1" s="57"/>
      <c r="J1" s="63" t="s">
        <v>7</v>
      </c>
      <c r="K1" s="64"/>
      <c r="L1" s="64"/>
      <c r="M1" s="64"/>
      <c r="N1" s="65"/>
      <c r="O1" s="69" t="s">
        <v>49</v>
      </c>
      <c r="P1" s="70"/>
      <c r="Q1" s="70"/>
      <c r="W1" s="14"/>
    </row>
    <row r="2" spans="1:23" ht="13.05" customHeight="1" x14ac:dyDescent="0.2">
      <c r="A2" s="54"/>
      <c r="B2" s="12"/>
      <c r="C2" s="6"/>
      <c r="D2" s="62" t="s">
        <v>16</v>
      </c>
      <c r="E2" s="62"/>
      <c r="F2" s="61"/>
      <c r="G2" s="58"/>
      <c r="H2" s="59"/>
      <c r="I2" s="60"/>
      <c r="J2" s="66"/>
      <c r="K2" s="67"/>
      <c r="L2" s="67"/>
      <c r="M2" s="67"/>
      <c r="N2" s="68"/>
      <c r="O2" s="71"/>
      <c r="P2" s="72"/>
      <c r="Q2" s="72"/>
      <c r="W2" s="16"/>
    </row>
    <row r="3" spans="1:23" s="78" customFormat="1" ht="22.8" x14ac:dyDescent="0.2">
      <c r="A3" s="61"/>
      <c r="B3" s="10" t="s">
        <v>9</v>
      </c>
      <c r="C3" s="23" t="s">
        <v>52</v>
      </c>
      <c r="D3" s="10" t="s">
        <v>17</v>
      </c>
      <c r="E3" s="10" t="s">
        <v>18</v>
      </c>
      <c r="F3" s="23" t="s">
        <v>51</v>
      </c>
      <c r="G3" s="9" t="s">
        <v>0</v>
      </c>
      <c r="H3" s="10" t="s">
        <v>1</v>
      </c>
      <c r="I3" s="10" t="s">
        <v>2</v>
      </c>
      <c r="J3" s="18" t="s">
        <v>46</v>
      </c>
      <c r="K3" s="20" t="s">
        <v>47</v>
      </c>
      <c r="L3" s="21" t="s">
        <v>48</v>
      </c>
      <c r="M3" s="21" t="s">
        <v>45</v>
      </c>
      <c r="N3" s="1" t="s">
        <v>13</v>
      </c>
      <c r="O3" s="22" t="s">
        <v>12</v>
      </c>
      <c r="P3" s="17" t="s">
        <v>46</v>
      </c>
      <c r="Q3" s="21" t="s">
        <v>45</v>
      </c>
      <c r="R3" s="74"/>
      <c r="W3" s="10" t="s">
        <v>10</v>
      </c>
    </row>
    <row r="4" spans="1:23" ht="13.05" customHeight="1" x14ac:dyDescent="0.2">
      <c r="A4" s="2">
        <v>1979</v>
      </c>
      <c r="B4" s="11">
        <v>1</v>
      </c>
      <c r="C4" s="2">
        <v>59</v>
      </c>
      <c r="F4" s="2">
        <v>166</v>
      </c>
      <c r="G4" s="3">
        <v>19.817375800596</v>
      </c>
      <c r="H4" s="4">
        <v>168.700690652129</v>
      </c>
      <c r="I4" s="4">
        <v>-12.3872018242996</v>
      </c>
      <c r="J4" s="11">
        <v>123</v>
      </c>
      <c r="K4" s="8">
        <v>147</v>
      </c>
      <c r="L4" s="8">
        <v>189</v>
      </c>
      <c r="M4" s="8">
        <v>213</v>
      </c>
      <c r="N4" s="24">
        <v>90</v>
      </c>
      <c r="O4" s="19">
        <v>1.9941590514956399E-2</v>
      </c>
      <c r="P4" s="5">
        <v>1.8772427482580002E-2</v>
      </c>
      <c r="Q4" s="5">
        <v>2.0574606012683499E-2</v>
      </c>
      <c r="W4" s="2" t="s">
        <v>11</v>
      </c>
    </row>
    <row r="5" spans="1:23" ht="13.05" customHeight="1" x14ac:dyDescent="0.2">
      <c r="A5" s="2">
        <v>1980</v>
      </c>
      <c r="B5" s="52" t="s">
        <v>15</v>
      </c>
      <c r="C5" s="53"/>
      <c r="D5" s="53"/>
      <c r="E5" s="53"/>
      <c r="F5" s="54"/>
      <c r="G5" s="3">
        <v>17.233674438141001</v>
      </c>
      <c r="H5" s="4">
        <v>176.98762771185699</v>
      </c>
      <c r="I5" s="4">
        <v>-12.903427607818401</v>
      </c>
      <c r="J5" s="11">
        <v>130</v>
      </c>
      <c r="K5" s="8">
        <v>155</v>
      </c>
      <c r="L5" s="8">
        <v>198</v>
      </c>
      <c r="M5" s="8">
        <v>223</v>
      </c>
      <c r="N5" s="24">
        <v>93</v>
      </c>
      <c r="O5" s="52" t="s">
        <v>15</v>
      </c>
      <c r="P5" s="53"/>
      <c r="Q5" s="53"/>
      <c r="R5" s="13"/>
      <c r="W5" s="13"/>
    </row>
    <row r="6" spans="1:23" ht="13.05" customHeight="1" x14ac:dyDescent="0.2">
      <c r="A6" s="2">
        <v>1981</v>
      </c>
      <c r="B6" s="52"/>
      <c r="C6" s="53"/>
      <c r="D6" s="53"/>
      <c r="E6" s="53"/>
      <c r="F6" s="54"/>
      <c r="G6" s="3">
        <v>13.1668369548438</v>
      </c>
      <c r="H6" s="4">
        <v>184.20094843536401</v>
      </c>
      <c r="I6" s="4">
        <v>-6.0738429756906402</v>
      </c>
      <c r="J6" s="11">
        <v>162</v>
      </c>
      <c r="K6" s="8">
        <v>174</v>
      </c>
      <c r="L6" s="8">
        <v>194</v>
      </c>
      <c r="M6" s="8">
        <v>205</v>
      </c>
      <c r="N6" s="24">
        <v>43</v>
      </c>
      <c r="O6" s="52"/>
      <c r="P6" s="53"/>
      <c r="Q6" s="53"/>
      <c r="W6" s="13"/>
    </row>
    <row r="7" spans="1:23" ht="13.05" customHeight="1" x14ac:dyDescent="0.2">
      <c r="A7" s="2">
        <v>1982</v>
      </c>
      <c r="B7" s="52"/>
      <c r="C7" s="53"/>
      <c r="D7" s="53"/>
      <c r="E7" s="53"/>
      <c r="F7" s="54"/>
      <c r="G7" s="3">
        <v>17.011639755802602</v>
      </c>
      <c r="H7" s="4">
        <v>173.74648547854599</v>
      </c>
      <c r="I7" s="4">
        <v>-16.3644045577716</v>
      </c>
      <c r="J7" s="11">
        <v>114</v>
      </c>
      <c r="K7" s="8">
        <v>145</v>
      </c>
      <c r="L7" s="8">
        <v>201</v>
      </c>
      <c r="M7" s="8">
        <v>233</v>
      </c>
      <c r="N7" s="24">
        <v>119</v>
      </c>
      <c r="O7" s="52"/>
      <c r="P7" s="53"/>
      <c r="Q7" s="53"/>
      <c r="W7" s="13"/>
    </row>
    <row r="8" spans="1:23" ht="13.05" customHeight="1" x14ac:dyDescent="0.2">
      <c r="A8" s="2">
        <v>1983</v>
      </c>
      <c r="B8" s="11">
        <v>1</v>
      </c>
      <c r="C8" s="2">
        <v>63</v>
      </c>
      <c r="D8" s="8" t="s">
        <v>19</v>
      </c>
      <c r="E8" s="8" t="s">
        <v>20</v>
      </c>
      <c r="F8" s="2">
        <v>178</v>
      </c>
      <c r="G8" s="3">
        <v>13.859740063412801</v>
      </c>
      <c r="H8" s="4">
        <v>173.982692268927</v>
      </c>
      <c r="I8" s="4">
        <v>-5.1451144488249998</v>
      </c>
      <c r="J8" s="11">
        <v>155</v>
      </c>
      <c r="K8" s="8">
        <v>165</v>
      </c>
      <c r="L8" s="8">
        <v>182</v>
      </c>
      <c r="M8" s="8">
        <v>192</v>
      </c>
      <c r="N8" s="24">
        <v>37</v>
      </c>
      <c r="O8" s="19">
        <v>4.1857095247566402E-2</v>
      </c>
      <c r="P8" s="5">
        <v>3.6470021138716599E-2</v>
      </c>
      <c r="Q8" s="5">
        <v>4.2500105779515997E-2</v>
      </c>
      <c r="W8" s="2" t="s">
        <v>11</v>
      </c>
    </row>
    <row r="9" spans="1:23" ht="13.05" customHeight="1" x14ac:dyDescent="0.2">
      <c r="A9" s="2">
        <v>1984</v>
      </c>
      <c r="B9" s="11">
        <v>1</v>
      </c>
      <c r="C9" s="2">
        <v>65</v>
      </c>
      <c r="D9" s="8" t="s">
        <v>21</v>
      </c>
      <c r="E9" s="8" t="s">
        <v>22</v>
      </c>
      <c r="F9" s="2">
        <v>176</v>
      </c>
      <c r="G9" s="3">
        <v>18.286563902627901</v>
      </c>
      <c r="H9" s="4">
        <v>169.07191281381</v>
      </c>
      <c r="I9" s="4">
        <v>-14.339925745130801</v>
      </c>
      <c r="J9" s="11">
        <v>117</v>
      </c>
      <c r="K9" s="8">
        <v>144</v>
      </c>
      <c r="L9" s="8">
        <v>193</v>
      </c>
      <c r="M9" s="8">
        <v>221</v>
      </c>
      <c r="N9" s="24">
        <v>104</v>
      </c>
      <c r="O9" s="19">
        <v>1.6453572522667301E-2</v>
      </c>
      <c r="P9" s="5">
        <v>1.46298965198045E-2</v>
      </c>
      <c r="Q9" s="5">
        <v>1.6372924103293499E-2</v>
      </c>
      <c r="W9" s="2" t="s">
        <v>11</v>
      </c>
    </row>
    <row r="10" spans="1:23" ht="13.05" customHeight="1" x14ac:dyDescent="0.2">
      <c r="A10" s="2">
        <v>1985</v>
      </c>
      <c r="B10" s="11">
        <v>1</v>
      </c>
      <c r="C10" s="2">
        <v>63</v>
      </c>
      <c r="D10" s="8" t="s">
        <v>23</v>
      </c>
      <c r="E10" s="8" t="s">
        <v>24</v>
      </c>
      <c r="F10" s="2">
        <v>178</v>
      </c>
      <c r="G10" s="3">
        <v>20.3014671462672</v>
      </c>
      <c r="H10" s="4">
        <v>166.05956882523699</v>
      </c>
      <c r="I10" s="4">
        <v>-14.8205165084811</v>
      </c>
      <c r="J10" s="11">
        <v>112</v>
      </c>
      <c r="K10" s="8">
        <v>140</v>
      </c>
      <c r="L10" s="8">
        <v>191</v>
      </c>
      <c r="M10" s="8">
        <v>219</v>
      </c>
      <c r="N10" s="24">
        <v>107</v>
      </c>
      <c r="O10" s="19">
        <v>1.44016534786743E-2</v>
      </c>
      <c r="P10" s="5">
        <v>1.28649087723583E-2</v>
      </c>
      <c r="Q10" s="5">
        <v>1.47499998909109E-2</v>
      </c>
      <c r="W10" s="2" t="s">
        <v>11</v>
      </c>
    </row>
    <row r="11" spans="1:23" ht="13.05" customHeight="1" x14ac:dyDescent="0.2">
      <c r="A11" s="2">
        <v>1986</v>
      </c>
      <c r="B11" s="11">
        <v>1</v>
      </c>
      <c r="C11" s="2">
        <v>58</v>
      </c>
      <c r="D11" s="8" t="s">
        <v>25</v>
      </c>
      <c r="E11" s="8" t="s">
        <v>26</v>
      </c>
      <c r="F11" s="2">
        <v>175</v>
      </c>
      <c r="G11" s="3">
        <v>16.786783051158199</v>
      </c>
      <c r="H11" s="4">
        <v>170.973463790491</v>
      </c>
      <c r="I11" s="4">
        <v>-13.657690766129299</v>
      </c>
      <c r="J11" s="11">
        <v>121</v>
      </c>
      <c r="K11" s="8">
        <v>147</v>
      </c>
      <c r="L11" s="8">
        <v>194</v>
      </c>
      <c r="M11" s="8">
        <v>220</v>
      </c>
      <c r="N11" s="24">
        <v>99</v>
      </c>
      <c r="O11" s="19">
        <v>1.7910854331658899E-2</v>
      </c>
      <c r="P11" s="5">
        <v>1.61124646861945E-2</v>
      </c>
      <c r="Q11" s="5">
        <v>1.8477500405967601E-2</v>
      </c>
      <c r="W11" s="2" t="s">
        <v>11</v>
      </c>
    </row>
    <row r="12" spans="1:23" ht="13.05" customHeight="1" x14ac:dyDescent="0.2">
      <c r="A12" s="2">
        <v>1987</v>
      </c>
      <c r="B12" s="11">
        <v>1</v>
      </c>
      <c r="C12" s="2">
        <v>64</v>
      </c>
      <c r="D12" s="8" t="s">
        <v>27</v>
      </c>
      <c r="E12" s="8" t="s">
        <v>28</v>
      </c>
      <c r="F12" s="2">
        <v>172</v>
      </c>
      <c r="G12" s="3">
        <v>13.8434917377055</v>
      </c>
      <c r="H12" s="4">
        <v>172.23858151536399</v>
      </c>
      <c r="I12" s="4">
        <v>-11.629008425463701</v>
      </c>
      <c r="J12" s="11">
        <v>130</v>
      </c>
      <c r="K12" s="8">
        <v>152</v>
      </c>
      <c r="L12" s="8">
        <v>191</v>
      </c>
      <c r="M12" s="8">
        <v>214</v>
      </c>
      <c r="N12" s="24">
        <v>84</v>
      </c>
      <c r="O12" s="19">
        <v>2.1492401466039202E-2</v>
      </c>
      <c r="P12" s="5">
        <v>1.9840767476312301E-2</v>
      </c>
      <c r="Q12" s="5">
        <v>2.1985884291473599E-2</v>
      </c>
      <c r="W12" s="2" t="s">
        <v>11</v>
      </c>
    </row>
    <row r="13" spans="1:23" ht="13.05" customHeight="1" x14ac:dyDescent="0.2">
      <c r="A13" s="2">
        <v>1988</v>
      </c>
      <c r="B13" s="11">
        <v>1</v>
      </c>
      <c r="C13" s="2">
        <v>64</v>
      </c>
      <c r="D13" s="8" t="s">
        <v>29</v>
      </c>
      <c r="E13" s="8" t="s">
        <v>30</v>
      </c>
      <c r="F13" s="2">
        <v>173</v>
      </c>
      <c r="G13" s="3">
        <v>14.440325810096301</v>
      </c>
      <c r="H13" s="4">
        <v>174.29987651125501</v>
      </c>
      <c r="I13" s="4">
        <v>-6.88698375253054</v>
      </c>
      <c r="J13" s="11">
        <v>149</v>
      </c>
      <c r="K13" s="8">
        <v>162</v>
      </c>
      <c r="L13" s="8">
        <v>185</v>
      </c>
      <c r="M13" s="8">
        <v>199</v>
      </c>
      <c r="N13" s="24">
        <v>50</v>
      </c>
      <c r="O13" s="19">
        <v>3.5963602008290303E-2</v>
      </c>
      <c r="P13" s="5">
        <v>3.3626300067243001E-2</v>
      </c>
      <c r="Q13" s="5">
        <v>3.7838681741207802E-2</v>
      </c>
      <c r="W13" s="2" t="s">
        <v>11</v>
      </c>
    </row>
    <row r="14" spans="1:23" ht="13.05" customHeight="1" x14ac:dyDescent="0.2">
      <c r="A14" s="2">
        <v>1988</v>
      </c>
      <c r="B14" s="11">
        <v>2</v>
      </c>
      <c r="C14" s="2">
        <v>65</v>
      </c>
      <c r="D14" s="8" t="s">
        <v>26</v>
      </c>
      <c r="E14" s="8" t="s">
        <v>31</v>
      </c>
      <c r="F14" s="2">
        <v>183</v>
      </c>
      <c r="G14" s="3">
        <v>14.440325810096301</v>
      </c>
      <c r="H14" s="4">
        <v>174.29987651125501</v>
      </c>
      <c r="I14" s="4">
        <v>-6.88698375253054</v>
      </c>
      <c r="J14" s="11">
        <v>149</v>
      </c>
      <c r="K14" s="8">
        <v>162</v>
      </c>
      <c r="L14" s="8">
        <v>185</v>
      </c>
      <c r="M14" s="8">
        <v>199</v>
      </c>
      <c r="N14" s="24">
        <v>50</v>
      </c>
      <c r="O14" s="19">
        <v>2.49493135412867E-2</v>
      </c>
      <c r="P14" s="5">
        <v>2.2908295187919502E-2</v>
      </c>
      <c r="Q14" s="5">
        <v>2.5148012644035399E-2</v>
      </c>
      <c r="W14" s="2" t="s">
        <v>11</v>
      </c>
    </row>
    <row r="15" spans="1:23" ht="13.05" customHeight="1" x14ac:dyDescent="0.2">
      <c r="A15" s="2">
        <v>1989</v>
      </c>
      <c r="B15" s="11">
        <v>1</v>
      </c>
      <c r="C15" s="2">
        <v>65</v>
      </c>
      <c r="D15" s="8" t="s">
        <v>25</v>
      </c>
      <c r="E15" s="8" t="s">
        <v>28</v>
      </c>
      <c r="F15" s="2">
        <v>174</v>
      </c>
      <c r="G15" s="3">
        <v>21.345134660951601</v>
      </c>
      <c r="H15" s="4">
        <v>162.41013000648601</v>
      </c>
      <c r="I15" s="4">
        <v>-14.9434034950336</v>
      </c>
      <c r="J15" s="11">
        <v>108</v>
      </c>
      <c r="K15" s="8">
        <v>136</v>
      </c>
      <c r="L15" s="8">
        <v>187</v>
      </c>
      <c r="M15" s="8">
        <v>216</v>
      </c>
      <c r="N15" s="24">
        <v>108</v>
      </c>
      <c r="O15" s="19">
        <v>1.44457278200268E-2</v>
      </c>
      <c r="P15" s="5">
        <v>1.2862233485575299E-2</v>
      </c>
      <c r="Q15" s="5">
        <v>1.46301280186586E-2</v>
      </c>
      <c r="W15" s="2" t="s">
        <v>11</v>
      </c>
    </row>
    <row r="16" spans="1:23" ht="13.05" customHeight="1" x14ac:dyDescent="0.2">
      <c r="A16" s="2">
        <v>1989</v>
      </c>
      <c r="B16" s="11">
        <v>2</v>
      </c>
      <c r="C16" s="2">
        <v>65</v>
      </c>
      <c r="D16" s="8" t="s">
        <v>26</v>
      </c>
      <c r="E16" s="8" t="s">
        <v>31</v>
      </c>
      <c r="F16" s="2">
        <v>181</v>
      </c>
      <c r="G16" s="3">
        <v>21.345134660951601</v>
      </c>
      <c r="H16" s="4">
        <v>162.41013000648601</v>
      </c>
      <c r="I16" s="4">
        <v>-14.9434034950336</v>
      </c>
      <c r="J16" s="11">
        <v>108</v>
      </c>
      <c r="K16" s="8">
        <v>136</v>
      </c>
      <c r="L16" s="8">
        <v>187</v>
      </c>
      <c r="M16" s="8">
        <v>216</v>
      </c>
      <c r="N16" s="24">
        <v>108</v>
      </c>
      <c r="O16" s="19">
        <v>1.16226000947266E-2</v>
      </c>
      <c r="P16" s="5">
        <v>1.03050493966907E-2</v>
      </c>
      <c r="Q16" s="5">
        <v>1.18022906894815E-2</v>
      </c>
      <c r="W16" s="2" t="s">
        <v>11</v>
      </c>
    </row>
    <row r="17" spans="1:23" ht="13.05" customHeight="1" x14ac:dyDescent="0.2">
      <c r="A17" s="2">
        <v>1990</v>
      </c>
      <c r="B17" s="11">
        <v>1</v>
      </c>
      <c r="C17" s="2">
        <v>65</v>
      </c>
      <c r="D17" s="8" t="s">
        <v>32</v>
      </c>
      <c r="E17" s="8" t="s">
        <v>23</v>
      </c>
      <c r="F17" s="2">
        <v>170</v>
      </c>
      <c r="G17" s="3">
        <v>14.257456445503101</v>
      </c>
      <c r="H17" s="4">
        <v>175.740058652747</v>
      </c>
      <c r="I17" s="4">
        <v>-9.8425364598363796</v>
      </c>
      <c r="J17" s="11">
        <v>140</v>
      </c>
      <c r="K17" s="8">
        <v>159</v>
      </c>
      <c r="L17" s="8">
        <v>192</v>
      </c>
      <c r="M17" s="8">
        <v>211</v>
      </c>
      <c r="N17" s="24">
        <v>71</v>
      </c>
      <c r="O17" s="19">
        <v>2.3353230049716001E-2</v>
      </c>
      <c r="P17" s="5">
        <v>2.2392086093541201E-2</v>
      </c>
      <c r="Q17" s="5">
        <v>2.4190043859326299E-2</v>
      </c>
      <c r="W17" s="2" t="s">
        <v>11</v>
      </c>
    </row>
    <row r="18" spans="1:23" ht="13.05" customHeight="1" x14ac:dyDescent="0.2">
      <c r="A18" s="2">
        <v>1990</v>
      </c>
      <c r="B18" s="11">
        <v>2</v>
      </c>
      <c r="C18" s="2">
        <v>65</v>
      </c>
      <c r="D18" s="8" t="s">
        <v>23</v>
      </c>
      <c r="E18" s="8" t="s">
        <v>33</v>
      </c>
      <c r="F18" s="2">
        <v>176</v>
      </c>
      <c r="G18" s="3">
        <v>14.257456445503101</v>
      </c>
      <c r="H18" s="4">
        <v>175.740058652747</v>
      </c>
      <c r="I18" s="4">
        <v>-9.8425364598363796</v>
      </c>
      <c r="J18" s="11">
        <v>140</v>
      </c>
      <c r="K18" s="8">
        <v>159</v>
      </c>
      <c r="L18" s="8">
        <v>192</v>
      </c>
      <c r="M18" s="8">
        <v>211</v>
      </c>
      <c r="N18" s="24">
        <v>71</v>
      </c>
      <c r="O18" s="19">
        <v>2.53900716633861E-2</v>
      </c>
      <c r="P18" s="5">
        <v>2.3564050990881401E-2</v>
      </c>
      <c r="Q18" s="5">
        <v>2.61740090898369E-2</v>
      </c>
      <c r="W18" s="2" t="s">
        <v>11</v>
      </c>
    </row>
    <row r="19" spans="1:23" s="80" customFormat="1" ht="13.05" customHeight="1" x14ac:dyDescent="0.2">
      <c r="A19" s="33">
        <v>1991</v>
      </c>
      <c r="B19" s="34">
        <v>1</v>
      </c>
      <c r="C19" s="33">
        <v>65</v>
      </c>
      <c r="D19" s="35" t="s">
        <v>27</v>
      </c>
      <c r="E19" s="35" t="s">
        <v>28</v>
      </c>
      <c r="F19" s="33">
        <v>171</v>
      </c>
      <c r="G19" s="36">
        <v>21.5173802169342</v>
      </c>
      <c r="H19" s="37">
        <v>163.24626971213701</v>
      </c>
      <c r="I19" s="37">
        <v>-17.7131961856952</v>
      </c>
      <c r="J19" s="34">
        <v>98</v>
      </c>
      <c r="K19" s="35">
        <v>133</v>
      </c>
      <c r="L19" s="35">
        <v>193</v>
      </c>
      <c r="M19" s="35">
        <v>227</v>
      </c>
      <c r="N19" s="38">
        <v>129</v>
      </c>
      <c r="O19" s="39">
        <v>1.3459455497963801E-2</v>
      </c>
      <c r="P19" s="40">
        <v>1.2165257498439001E-2</v>
      </c>
      <c r="Q19" s="40">
        <v>1.5111230411810299E-2</v>
      </c>
      <c r="R19" s="79"/>
      <c r="W19" s="33" t="s">
        <v>11</v>
      </c>
    </row>
    <row r="20" spans="1:23" ht="13.05" customHeight="1" x14ac:dyDescent="0.2">
      <c r="A20" s="2">
        <v>1992</v>
      </c>
      <c r="B20" s="11">
        <v>1</v>
      </c>
      <c r="C20" s="2">
        <v>65</v>
      </c>
      <c r="D20" s="8" t="s">
        <v>32</v>
      </c>
      <c r="E20" s="8" t="s">
        <v>34</v>
      </c>
      <c r="F20" s="2">
        <v>173</v>
      </c>
      <c r="G20" s="3">
        <v>14.9086126216725</v>
      </c>
      <c r="H20" s="4">
        <v>175.29055072466201</v>
      </c>
      <c r="I20" s="4">
        <v>-11.788715567310501</v>
      </c>
      <c r="J20" s="11">
        <v>132</v>
      </c>
      <c r="K20" s="8">
        <v>155</v>
      </c>
      <c r="L20" s="8">
        <v>195</v>
      </c>
      <c r="M20" s="8">
        <v>217</v>
      </c>
      <c r="N20" s="24">
        <v>85</v>
      </c>
      <c r="O20" s="19">
        <v>2.1004771081127301E-2</v>
      </c>
      <c r="P20" s="5">
        <v>1.90024779794352E-2</v>
      </c>
      <c r="Q20" s="5">
        <v>2.1767183298387099E-2</v>
      </c>
      <c r="W20" s="2" t="s">
        <v>11</v>
      </c>
    </row>
    <row r="21" spans="1:23" ht="13.05" customHeight="1" x14ac:dyDescent="0.2">
      <c r="A21" s="2">
        <v>1992</v>
      </c>
      <c r="B21" s="11">
        <v>2</v>
      </c>
      <c r="C21" s="2">
        <v>63</v>
      </c>
      <c r="D21" s="8" t="s">
        <v>30</v>
      </c>
      <c r="E21" s="8" t="s">
        <v>20</v>
      </c>
      <c r="F21" s="2">
        <v>180</v>
      </c>
      <c r="G21" s="3">
        <v>14.9086126216725</v>
      </c>
      <c r="H21" s="4">
        <v>175.29055072466201</v>
      </c>
      <c r="I21" s="4">
        <v>-11.788715567310501</v>
      </c>
      <c r="J21" s="11">
        <v>132</v>
      </c>
      <c r="K21" s="8">
        <v>155</v>
      </c>
      <c r="L21" s="8">
        <v>195</v>
      </c>
      <c r="M21" s="8">
        <v>217</v>
      </c>
      <c r="N21" s="24">
        <v>85</v>
      </c>
      <c r="O21" s="19">
        <v>2.0379939710331502E-2</v>
      </c>
      <c r="P21" s="5">
        <v>1.78007377812213E-2</v>
      </c>
      <c r="Q21" s="5">
        <v>2.1348744138589101E-2</v>
      </c>
      <c r="W21" s="2" t="s">
        <v>11</v>
      </c>
    </row>
    <row r="22" spans="1:23" ht="13.05" customHeight="1" x14ac:dyDescent="0.2">
      <c r="A22" s="2">
        <v>1993</v>
      </c>
      <c r="B22" s="11">
        <v>1</v>
      </c>
      <c r="C22" s="2">
        <v>65</v>
      </c>
      <c r="D22" s="8" t="s">
        <v>35</v>
      </c>
      <c r="E22" s="8" t="s">
        <v>19</v>
      </c>
      <c r="F22" s="2">
        <v>170</v>
      </c>
      <c r="G22" s="3">
        <v>17.390720551858699</v>
      </c>
      <c r="H22" s="4">
        <v>173.303340390214</v>
      </c>
      <c r="I22" s="4">
        <v>-13.817533257143801</v>
      </c>
      <c r="J22" s="11">
        <v>123</v>
      </c>
      <c r="K22" s="8">
        <v>149</v>
      </c>
      <c r="L22" s="8">
        <v>196</v>
      </c>
      <c r="M22" s="8">
        <v>223</v>
      </c>
      <c r="N22" s="24">
        <v>100</v>
      </c>
      <c r="O22" s="19">
        <v>1.7835096721121799E-2</v>
      </c>
      <c r="P22" s="5">
        <v>1.6435518643190299E-2</v>
      </c>
      <c r="Q22" s="5">
        <v>1.8342784893312598E-2</v>
      </c>
      <c r="W22" s="2" t="s">
        <v>11</v>
      </c>
    </row>
    <row r="23" spans="1:23" ht="13.05" customHeight="1" x14ac:dyDescent="0.2">
      <c r="A23" s="2">
        <v>1994</v>
      </c>
      <c r="B23" s="11">
        <v>1</v>
      </c>
      <c r="C23" s="2">
        <v>65</v>
      </c>
      <c r="D23" s="8" t="s">
        <v>36</v>
      </c>
      <c r="E23" s="8" t="s">
        <v>21</v>
      </c>
      <c r="F23" s="2">
        <v>168</v>
      </c>
      <c r="G23" s="3">
        <v>13.6964274881656</v>
      </c>
      <c r="H23" s="4">
        <v>176.36802129143399</v>
      </c>
      <c r="I23" s="4">
        <v>-11.1873293330259</v>
      </c>
      <c r="J23" s="11">
        <v>135</v>
      </c>
      <c r="K23" s="8">
        <v>157</v>
      </c>
      <c r="L23" s="8">
        <v>195</v>
      </c>
      <c r="M23" s="8">
        <v>216</v>
      </c>
      <c r="N23" s="24">
        <v>81</v>
      </c>
      <c r="O23" s="19">
        <v>1.9488958363410601E-2</v>
      </c>
      <c r="P23" s="5">
        <v>1.84821682967811E-2</v>
      </c>
      <c r="Q23" s="5">
        <v>2.03293187323111E-2</v>
      </c>
      <c r="W23" s="2" t="s">
        <v>11</v>
      </c>
    </row>
    <row r="24" spans="1:23" ht="13.05" customHeight="1" x14ac:dyDescent="0.2">
      <c r="A24" s="2">
        <v>1994</v>
      </c>
      <c r="B24" s="11">
        <v>2</v>
      </c>
      <c r="C24" s="2">
        <v>64</v>
      </c>
      <c r="D24" s="8" t="s">
        <v>25</v>
      </c>
      <c r="E24" s="8" t="s">
        <v>26</v>
      </c>
      <c r="F24" s="2">
        <v>175</v>
      </c>
      <c r="G24" s="3">
        <v>13.6964274881656</v>
      </c>
      <c r="H24" s="4">
        <v>176.36802129143399</v>
      </c>
      <c r="I24" s="4">
        <v>-11.1873293330259</v>
      </c>
      <c r="J24" s="11">
        <v>135</v>
      </c>
      <c r="K24" s="8">
        <v>157</v>
      </c>
      <c r="L24" s="8">
        <v>195</v>
      </c>
      <c r="M24" s="8">
        <v>216</v>
      </c>
      <c r="N24" s="24">
        <v>81</v>
      </c>
      <c r="O24" s="19">
        <v>2.2259719581979E-2</v>
      </c>
      <c r="P24" s="5">
        <v>2.0139401166362501E-2</v>
      </c>
      <c r="Q24" s="5">
        <v>2.3278461746478199E-2</v>
      </c>
      <c r="W24" s="2" t="s">
        <v>11</v>
      </c>
    </row>
    <row r="25" spans="1:23" ht="13.05" customHeight="1" x14ac:dyDescent="0.2">
      <c r="A25" s="2">
        <v>1995</v>
      </c>
      <c r="B25" s="49" t="s">
        <v>14</v>
      </c>
      <c r="C25" s="50"/>
      <c r="D25" s="50"/>
      <c r="E25" s="50"/>
      <c r="F25" s="51"/>
      <c r="G25" s="3">
        <v>13.974528849945401</v>
      </c>
      <c r="H25" s="4">
        <v>177.81756910067301</v>
      </c>
      <c r="I25" s="4">
        <v>-10.154648163049201</v>
      </c>
      <c r="J25" s="11">
        <v>141</v>
      </c>
      <c r="K25" s="8">
        <v>160</v>
      </c>
      <c r="L25" s="8">
        <v>194</v>
      </c>
      <c r="M25" s="8">
        <v>214</v>
      </c>
      <c r="N25" s="24">
        <v>73</v>
      </c>
      <c r="O25" s="50" t="s">
        <v>14</v>
      </c>
      <c r="P25" s="50"/>
      <c r="Q25" s="50"/>
      <c r="R25" s="8"/>
      <c r="S25" s="8"/>
      <c r="T25" s="8"/>
      <c r="U25" s="8"/>
      <c r="V25" s="8"/>
    </row>
    <row r="26" spans="1:23" ht="13.05" customHeight="1" x14ac:dyDescent="0.2">
      <c r="A26" s="2">
        <v>1996</v>
      </c>
      <c r="B26" s="11">
        <v>1</v>
      </c>
      <c r="C26" s="2">
        <v>65</v>
      </c>
      <c r="D26" s="75" t="s">
        <v>29</v>
      </c>
      <c r="E26" s="75" t="s">
        <v>34</v>
      </c>
      <c r="F26" s="2">
        <v>173</v>
      </c>
      <c r="G26" s="3">
        <v>17.689781002061899</v>
      </c>
      <c r="H26" s="4">
        <v>168.68111446406999</v>
      </c>
      <c r="I26" s="4">
        <v>-11.047288156301001</v>
      </c>
      <c r="J26" s="11">
        <v>128</v>
      </c>
      <c r="K26" s="8">
        <v>150</v>
      </c>
      <c r="L26" s="8">
        <v>187</v>
      </c>
      <c r="M26" s="8">
        <v>208</v>
      </c>
      <c r="N26" s="24">
        <v>80</v>
      </c>
      <c r="O26" s="19">
        <v>2.1783567621051599E-2</v>
      </c>
      <c r="P26" s="19">
        <v>1.9227886315038401E-2</v>
      </c>
      <c r="Q26" s="19">
        <v>2.3196704430736799E-2</v>
      </c>
      <c r="W26" s="2" t="s">
        <v>11</v>
      </c>
    </row>
    <row r="27" spans="1:23" ht="13.05" customHeight="1" x14ac:dyDescent="0.2">
      <c r="A27" s="2">
        <v>1996</v>
      </c>
      <c r="B27" s="11">
        <v>2</v>
      </c>
      <c r="C27" s="2">
        <v>62</v>
      </c>
      <c r="D27" s="75" t="s">
        <v>34</v>
      </c>
      <c r="E27" s="75" t="s">
        <v>37</v>
      </c>
      <c r="F27" s="2">
        <v>179</v>
      </c>
      <c r="G27" s="3">
        <v>17.689781002061899</v>
      </c>
      <c r="H27" s="4">
        <v>168.68111446406999</v>
      </c>
      <c r="I27" s="4">
        <v>-11.047288156301001</v>
      </c>
      <c r="J27" s="11">
        <v>128</v>
      </c>
      <c r="K27" s="8">
        <v>150</v>
      </c>
      <c r="L27" s="8">
        <v>187</v>
      </c>
      <c r="M27" s="8">
        <v>208</v>
      </c>
      <c r="N27" s="24">
        <v>80</v>
      </c>
      <c r="O27" s="19">
        <v>1.83307511000564E-2</v>
      </c>
      <c r="P27" s="19">
        <v>1.59557356103051E-2</v>
      </c>
      <c r="Q27" s="19">
        <v>1.9636661647754398E-2</v>
      </c>
      <c r="W27" s="2" t="s">
        <v>11</v>
      </c>
    </row>
    <row r="28" spans="1:23" ht="13.05" customHeight="1" x14ac:dyDescent="0.2">
      <c r="A28" s="2">
        <v>1997</v>
      </c>
      <c r="B28" s="49" t="s">
        <v>14</v>
      </c>
      <c r="C28" s="50"/>
      <c r="D28" s="50"/>
      <c r="E28" s="50"/>
      <c r="F28" s="51"/>
      <c r="G28" s="3">
        <v>15.4258915825808</v>
      </c>
      <c r="H28" s="4">
        <v>174.88773787909099</v>
      </c>
      <c r="I28" s="4">
        <v>-8.4739123044382207</v>
      </c>
      <c r="J28" s="11">
        <v>144</v>
      </c>
      <c r="K28" s="8">
        <v>160</v>
      </c>
      <c r="L28" s="8">
        <v>189</v>
      </c>
      <c r="M28" s="8">
        <v>205</v>
      </c>
      <c r="N28" s="24">
        <v>61</v>
      </c>
      <c r="O28" s="50" t="s">
        <v>14</v>
      </c>
      <c r="P28" s="50"/>
      <c r="Q28" s="50"/>
      <c r="R28" s="8"/>
      <c r="S28" s="8"/>
      <c r="T28" s="8"/>
      <c r="U28" s="8"/>
      <c r="V28" s="8"/>
    </row>
    <row r="29" spans="1:23" ht="13.05" customHeight="1" x14ac:dyDescent="0.2">
      <c r="B29" s="76"/>
      <c r="C29" s="77"/>
      <c r="D29" s="77"/>
      <c r="E29" s="77"/>
      <c r="F29" s="77"/>
      <c r="G29" s="3"/>
      <c r="H29" s="4"/>
      <c r="I29" s="4"/>
      <c r="O29" s="19"/>
      <c r="P29" s="5"/>
      <c r="Q29" s="5"/>
    </row>
    <row r="30" spans="1:23" ht="13.05" customHeight="1" x14ac:dyDescent="0.2">
      <c r="A30" s="54" t="s">
        <v>6</v>
      </c>
      <c r="B30" s="52" t="s">
        <v>8</v>
      </c>
      <c r="C30" s="53"/>
      <c r="D30" s="53"/>
      <c r="E30" s="53"/>
      <c r="F30" s="54"/>
      <c r="G30" s="55" t="s">
        <v>5</v>
      </c>
      <c r="H30" s="56"/>
      <c r="I30" s="57"/>
      <c r="J30" s="63" t="s">
        <v>7</v>
      </c>
      <c r="K30" s="64"/>
      <c r="L30" s="64"/>
      <c r="M30" s="64"/>
      <c r="N30" s="65"/>
      <c r="O30" s="69" t="s">
        <v>49</v>
      </c>
      <c r="P30" s="70"/>
      <c r="Q30" s="70"/>
      <c r="W30" s="14"/>
    </row>
    <row r="31" spans="1:23" ht="13.05" customHeight="1" x14ac:dyDescent="0.2">
      <c r="A31" s="54"/>
      <c r="B31" s="15"/>
      <c r="C31" s="7"/>
      <c r="D31" s="62" t="s">
        <v>16</v>
      </c>
      <c r="E31" s="62"/>
      <c r="F31" s="61"/>
      <c r="G31" s="58"/>
      <c r="H31" s="59"/>
      <c r="I31" s="60"/>
      <c r="J31" s="66"/>
      <c r="K31" s="67"/>
      <c r="L31" s="67"/>
      <c r="M31" s="67"/>
      <c r="N31" s="68"/>
      <c r="O31" s="71"/>
      <c r="P31" s="72"/>
      <c r="Q31" s="72"/>
      <c r="W31" s="16"/>
    </row>
    <row r="32" spans="1:23" s="78" customFormat="1" ht="22.8" x14ac:dyDescent="0.2">
      <c r="A32" s="61"/>
      <c r="B32" s="9" t="s">
        <v>9</v>
      </c>
      <c r="C32" s="23" t="s">
        <v>52</v>
      </c>
      <c r="D32" s="10" t="s">
        <v>17</v>
      </c>
      <c r="E32" s="10" t="s">
        <v>18</v>
      </c>
      <c r="F32" s="23" t="s">
        <v>51</v>
      </c>
      <c r="G32" s="9" t="s">
        <v>0</v>
      </c>
      <c r="H32" s="10" t="s">
        <v>1</v>
      </c>
      <c r="I32" s="10" t="s">
        <v>2</v>
      </c>
      <c r="J32" s="18" t="s">
        <v>46</v>
      </c>
      <c r="K32" s="20" t="s">
        <v>47</v>
      </c>
      <c r="L32" s="21" t="s">
        <v>48</v>
      </c>
      <c r="M32" s="21" t="s">
        <v>45</v>
      </c>
      <c r="N32" s="1" t="s">
        <v>13</v>
      </c>
      <c r="O32" s="22" t="s">
        <v>12</v>
      </c>
      <c r="P32" s="17" t="s">
        <v>46</v>
      </c>
      <c r="Q32" s="21" t="s">
        <v>45</v>
      </c>
      <c r="R32" s="74"/>
      <c r="W32" s="10" t="s">
        <v>10</v>
      </c>
    </row>
    <row r="33" spans="1:23" ht="13.05" customHeight="1" x14ac:dyDescent="0.2">
      <c r="A33" s="2">
        <v>1998</v>
      </c>
      <c r="B33" s="11">
        <v>1</v>
      </c>
      <c r="C33" s="2">
        <v>64</v>
      </c>
      <c r="D33" s="8" t="s">
        <v>38</v>
      </c>
      <c r="E33" s="8" t="s">
        <v>39</v>
      </c>
      <c r="F33" s="2">
        <v>167</v>
      </c>
      <c r="G33" s="3">
        <v>16.8967778727236</v>
      </c>
      <c r="H33" s="4">
        <v>166.142781448585</v>
      </c>
      <c r="I33" s="4">
        <v>-10.4687618433464</v>
      </c>
      <c r="J33" s="11">
        <v>128</v>
      </c>
      <c r="K33" s="8">
        <v>148</v>
      </c>
      <c r="L33" s="8">
        <v>183</v>
      </c>
      <c r="M33" s="8">
        <v>203</v>
      </c>
      <c r="N33" s="24">
        <v>75</v>
      </c>
      <c r="O33" s="19">
        <v>2.3836080642984401E-2</v>
      </c>
      <c r="P33" s="5">
        <v>2.16780306753637E-2</v>
      </c>
      <c r="Q33" s="5">
        <v>2.4461335414774001E-2</v>
      </c>
      <c r="W33" s="2" t="s">
        <v>11</v>
      </c>
    </row>
    <row r="34" spans="1:23" ht="13.05" customHeight="1" x14ac:dyDescent="0.2">
      <c r="A34" s="2">
        <v>1998</v>
      </c>
      <c r="B34" s="11">
        <v>2</v>
      </c>
      <c r="C34" s="2">
        <v>65</v>
      </c>
      <c r="D34" s="8" t="s">
        <v>27</v>
      </c>
      <c r="E34" s="8" t="s">
        <v>34</v>
      </c>
      <c r="F34" s="2">
        <v>172</v>
      </c>
      <c r="G34" s="3">
        <v>16.8967778727236</v>
      </c>
      <c r="H34" s="4">
        <v>166.142781448585</v>
      </c>
      <c r="I34" s="4">
        <v>-10.4687618433464</v>
      </c>
      <c r="J34" s="11">
        <v>128</v>
      </c>
      <c r="K34" s="8">
        <v>148</v>
      </c>
      <c r="L34" s="8">
        <v>183</v>
      </c>
      <c r="M34" s="8">
        <v>203</v>
      </c>
      <c r="N34" s="24">
        <v>75</v>
      </c>
      <c r="O34" s="19">
        <v>2.2101796925473899E-2</v>
      </c>
      <c r="P34" s="5">
        <v>1.9414947678087699E-2</v>
      </c>
      <c r="Q34" s="5">
        <v>2.2857953944928702E-2</v>
      </c>
      <c r="W34" s="2" t="s">
        <v>11</v>
      </c>
    </row>
    <row r="35" spans="1:23" s="80" customFormat="1" ht="13.05" customHeight="1" x14ac:dyDescent="0.2">
      <c r="A35" s="33">
        <v>1999</v>
      </c>
      <c r="B35" s="34">
        <v>1</v>
      </c>
      <c r="C35" s="33">
        <v>52</v>
      </c>
      <c r="D35" s="35" t="s">
        <v>39</v>
      </c>
      <c r="E35" s="35" t="s">
        <v>30</v>
      </c>
      <c r="F35" s="33">
        <v>173</v>
      </c>
      <c r="G35" s="36">
        <v>24.341217919942999</v>
      </c>
      <c r="H35" s="37">
        <v>145.15309113051501</v>
      </c>
      <c r="I35" s="37">
        <v>-15.4182558107248</v>
      </c>
      <c r="J35" s="34">
        <v>89</v>
      </c>
      <c r="K35" s="35">
        <v>118</v>
      </c>
      <c r="L35" s="35">
        <v>171</v>
      </c>
      <c r="M35" s="35">
        <v>201</v>
      </c>
      <c r="N35" s="38">
        <v>112</v>
      </c>
      <c r="O35" s="39">
        <v>7.8617301641224092E-3</v>
      </c>
      <c r="P35" s="40">
        <v>6.97082074953328E-3</v>
      </c>
      <c r="Q35" s="40">
        <v>9.0169727429438191E-3</v>
      </c>
      <c r="R35" s="79"/>
      <c r="W35" s="33" t="s">
        <v>3</v>
      </c>
    </row>
    <row r="36" spans="1:23" ht="13.05" customHeight="1" x14ac:dyDescent="0.2">
      <c r="A36" s="2">
        <v>2000</v>
      </c>
      <c r="B36" s="11">
        <v>1</v>
      </c>
      <c r="C36" s="2">
        <v>62</v>
      </c>
      <c r="D36" s="8" t="s">
        <v>29</v>
      </c>
      <c r="E36" s="8" t="s">
        <v>28</v>
      </c>
      <c r="F36" s="2">
        <v>173</v>
      </c>
      <c r="G36" s="3">
        <v>15.3135470073588</v>
      </c>
      <c r="H36" s="4">
        <v>170.76660073461801</v>
      </c>
      <c r="I36" s="4">
        <v>-11.198738789157501</v>
      </c>
      <c r="J36" s="11">
        <v>130</v>
      </c>
      <c r="K36" s="8">
        <v>151</v>
      </c>
      <c r="L36" s="8">
        <v>189</v>
      </c>
      <c r="M36" s="8">
        <v>211</v>
      </c>
      <c r="N36" s="24">
        <v>81</v>
      </c>
      <c r="O36" s="19">
        <v>2.2099873820054801E-2</v>
      </c>
      <c r="P36" s="5">
        <v>1.9755205883301499E-2</v>
      </c>
      <c r="Q36" s="5">
        <v>2.2387852188985199E-2</v>
      </c>
      <c r="W36" s="2" t="s">
        <v>11</v>
      </c>
    </row>
    <row r="37" spans="1:23" ht="13.05" customHeight="1" x14ac:dyDescent="0.2">
      <c r="A37" s="2">
        <v>2001</v>
      </c>
      <c r="B37" s="11">
        <v>1</v>
      </c>
      <c r="C37" s="2">
        <v>61</v>
      </c>
      <c r="D37" s="8" t="s">
        <v>40</v>
      </c>
      <c r="E37" s="8" t="s">
        <v>21</v>
      </c>
      <c r="F37" s="2">
        <v>166</v>
      </c>
      <c r="G37" s="3">
        <v>12.815285782555501</v>
      </c>
      <c r="H37" s="4">
        <v>171.968199282748</v>
      </c>
      <c r="I37" s="4">
        <v>-6.9116966947682696</v>
      </c>
      <c r="J37" s="11">
        <v>147</v>
      </c>
      <c r="K37" s="8">
        <v>160</v>
      </c>
      <c r="L37" s="8">
        <v>183</v>
      </c>
      <c r="M37" s="8">
        <v>196</v>
      </c>
      <c r="N37" s="24">
        <v>49</v>
      </c>
      <c r="O37" s="19">
        <v>3.0178805050638101E-2</v>
      </c>
      <c r="P37" s="5">
        <v>2.9236409307810199E-2</v>
      </c>
      <c r="Q37" s="5">
        <v>3.1560387633702898E-2</v>
      </c>
      <c r="W37" s="2" t="s">
        <v>11</v>
      </c>
    </row>
    <row r="38" spans="1:23" ht="13.05" customHeight="1" x14ac:dyDescent="0.2">
      <c r="A38" s="2">
        <v>2002</v>
      </c>
      <c r="B38" s="11">
        <v>1</v>
      </c>
      <c r="C38" s="2">
        <v>63</v>
      </c>
      <c r="D38" s="8" t="s">
        <v>32</v>
      </c>
      <c r="E38" s="8" t="s">
        <v>19</v>
      </c>
      <c r="F38" s="2">
        <v>170</v>
      </c>
      <c r="G38" s="3">
        <v>15.3447237861649</v>
      </c>
      <c r="H38" s="4">
        <v>172.02072968038101</v>
      </c>
      <c r="I38" s="4">
        <v>-12.5730127960075</v>
      </c>
      <c r="J38" s="11">
        <v>126</v>
      </c>
      <c r="K38" s="8">
        <v>150</v>
      </c>
      <c r="L38" s="8">
        <v>193</v>
      </c>
      <c r="M38" s="8">
        <v>217</v>
      </c>
      <c r="N38" s="24">
        <v>91</v>
      </c>
      <c r="O38" s="19">
        <v>1.9753479664496799E-2</v>
      </c>
      <c r="P38" s="5">
        <v>1.8019670607436301E-2</v>
      </c>
      <c r="Q38" s="5">
        <v>2.01593803880162E-2</v>
      </c>
      <c r="W38" s="2" t="s">
        <v>11</v>
      </c>
    </row>
    <row r="39" spans="1:23" ht="13.05" customHeight="1" x14ac:dyDescent="0.2">
      <c r="A39" s="2">
        <v>2003</v>
      </c>
      <c r="B39" s="11">
        <v>1</v>
      </c>
      <c r="C39" s="2">
        <v>65</v>
      </c>
      <c r="D39" s="8" t="s">
        <v>27</v>
      </c>
      <c r="E39" s="8" t="s">
        <v>34</v>
      </c>
      <c r="F39" s="2">
        <v>171</v>
      </c>
      <c r="G39" s="3">
        <v>16.601794240928001</v>
      </c>
      <c r="H39" s="4">
        <v>170.29934440321901</v>
      </c>
      <c r="I39" s="4">
        <v>-8.9851871021779495</v>
      </c>
      <c r="J39" s="11">
        <v>137</v>
      </c>
      <c r="K39" s="8">
        <v>155</v>
      </c>
      <c r="L39" s="8">
        <v>185</v>
      </c>
      <c r="M39" s="8">
        <v>202</v>
      </c>
      <c r="N39" s="24">
        <v>65</v>
      </c>
      <c r="O39" s="19">
        <v>2.7774184026791798E-2</v>
      </c>
      <c r="P39" s="5">
        <v>2.4898626327520601E-2</v>
      </c>
      <c r="Q39" s="5">
        <v>2.89423323872798E-2</v>
      </c>
      <c r="W39" s="2" t="s">
        <v>11</v>
      </c>
    </row>
    <row r="40" spans="1:23" ht="13.05" customHeight="1" x14ac:dyDescent="0.2">
      <c r="A40" s="2">
        <v>2004</v>
      </c>
      <c r="B40" s="11">
        <v>1</v>
      </c>
      <c r="C40" s="2">
        <v>64</v>
      </c>
      <c r="D40" s="8" t="s">
        <v>35</v>
      </c>
      <c r="E40" s="8" t="s">
        <v>23</v>
      </c>
      <c r="F40" s="2">
        <v>171</v>
      </c>
      <c r="G40" s="3">
        <v>17.706214868371799</v>
      </c>
      <c r="H40" s="4">
        <v>170.62097547436699</v>
      </c>
      <c r="I40" s="4">
        <v>-12.5683505047748</v>
      </c>
      <c r="J40" s="11">
        <v>125</v>
      </c>
      <c r="K40" s="8">
        <v>149</v>
      </c>
      <c r="L40" s="8">
        <v>191</v>
      </c>
      <c r="M40" s="8">
        <v>216</v>
      </c>
      <c r="N40" s="24">
        <v>91</v>
      </c>
      <c r="O40" s="19">
        <v>1.9884121783301598E-2</v>
      </c>
      <c r="P40" s="5">
        <v>1.7730624943766E-2</v>
      </c>
      <c r="Q40" s="5">
        <v>2.0869932259996199E-2</v>
      </c>
      <c r="W40" s="2" t="s">
        <v>11</v>
      </c>
    </row>
    <row r="41" spans="1:23" ht="13.05" customHeight="1" x14ac:dyDescent="0.2">
      <c r="A41" s="2">
        <v>2005</v>
      </c>
      <c r="B41" s="11">
        <v>1</v>
      </c>
      <c r="C41" s="2">
        <v>61</v>
      </c>
      <c r="D41" s="8" t="s">
        <v>32</v>
      </c>
      <c r="E41" s="8" t="s">
        <v>23</v>
      </c>
      <c r="F41" s="2">
        <v>170</v>
      </c>
      <c r="G41" s="3">
        <v>18.891471790913801</v>
      </c>
      <c r="H41" s="4">
        <v>172.91043720971101</v>
      </c>
      <c r="I41" s="4">
        <v>-10.638379619709101</v>
      </c>
      <c r="J41" s="11">
        <v>134</v>
      </c>
      <c r="K41" s="8">
        <v>154</v>
      </c>
      <c r="L41" s="8">
        <v>190</v>
      </c>
      <c r="M41" s="8">
        <v>211</v>
      </c>
      <c r="N41" s="24">
        <v>77</v>
      </c>
      <c r="O41" s="19">
        <v>2.3061525935476699E-2</v>
      </c>
      <c r="P41" s="5">
        <v>2.1735407516719599E-2</v>
      </c>
      <c r="Q41" s="5">
        <v>2.3827101200629301E-2</v>
      </c>
      <c r="W41" s="2" t="s">
        <v>11</v>
      </c>
    </row>
    <row r="42" spans="1:23" s="82" customFormat="1" ht="13.05" customHeight="1" x14ac:dyDescent="0.2">
      <c r="A42" s="41">
        <v>2006</v>
      </c>
      <c r="B42" s="42">
        <v>1</v>
      </c>
      <c r="C42" s="41">
        <v>63</v>
      </c>
      <c r="D42" s="43" t="s">
        <v>22</v>
      </c>
      <c r="E42" s="43" t="s">
        <v>41</v>
      </c>
      <c r="F42" s="41">
        <v>186</v>
      </c>
      <c r="G42" s="44">
        <v>18.125859778734199</v>
      </c>
      <c r="H42" s="45">
        <v>165.38911949734299</v>
      </c>
      <c r="I42" s="45">
        <v>-10.3607027742908</v>
      </c>
      <c r="J42" s="42">
        <v>127</v>
      </c>
      <c r="K42" s="43">
        <v>147</v>
      </c>
      <c r="L42" s="43">
        <v>182</v>
      </c>
      <c r="M42" s="43">
        <v>202</v>
      </c>
      <c r="N42" s="46">
        <v>75</v>
      </c>
      <c r="O42" s="47">
        <v>1.02178214733081E-2</v>
      </c>
      <c r="P42" s="48">
        <v>9.4317570070440501E-3</v>
      </c>
      <c r="Q42" s="48">
        <v>1.0280433716036401E-2</v>
      </c>
      <c r="R42" s="81"/>
      <c r="W42" s="41" t="s">
        <v>3</v>
      </c>
    </row>
    <row r="43" spans="1:23" ht="13.05" customHeight="1" x14ac:dyDescent="0.2">
      <c r="A43" s="2">
        <v>2007</v>
      </c>
      <c r="B43" s="11">
        <v>1</v>
      </c>
      <c r="C43" s="2">
        <v>66</v>
      </c>
      <c r="D43" s="8" t="s">
        <v>21</v>
      </c>
      <c r="E43" s="8" t="s">
        <v>22</v>
      </c>
      <c r="F43" s="2">
        <v>177</v>
      </c>
      <c r="G43" s="3">
        <v>13.8679866665654</v>
      </c>
      <c r="H43" s="4">
        <v>177.48746984474801</v>
      </c>
      <c r="I43" s="4">
        <v>-6.9780989251658401</v>
      </c>
      <c r="J43" s="11">
        <v>152</v>
      </c>
      <c r="K43" s="8">
        <v>165</v>
      </c>
      <c r="L43" s="8">
        <v>189</v>
      </c>
      <c r="M43" s="8">
        <v>202</v>
      </c>
      <c r="N43" s="24">
        <v>50</v>
      </c>
      <c r="O43" s="19">
        <v>3.5767458182942399E-2</v>
      </c>
      <c r="P43" s="5">
        <v>3.2877798322459198E-2</v>
      </c>
      <c r="Q43" s="5">
        <v>3.7251849371977001E-2</v>
      </c>
      <c r="W43" s="2" t="s">
        <v>11</v>
      </c>
    </row>
    <row r="44" spans="1:23" ht="13.05" customHeight="1" x14ac:dyDescent="0.2">
      <c r="A44" s="2">
        <v>2008</v>
      </c>
      <c r="B44" s="11">
        <v>1</v>
      </c>
      <c r="C44" s="2">
        <v>53</v>
      </c>
      <c r="D44" s="8" t="s">
        <v>21</v>
      </c>
      <c r="E44" s="8" t="s">
        <v>22</v>
      </c>
      <c r="F44" s="2">
        <v>177</v>
      </c>
      <c r="G44" s="3">
        <v>13.025066197297701</v>
      </c>
      <c r="H44" s="4">
        <v>175.62637683073001</v>
      </c>
      <c r="I44" s="4">
        <v>-6.1561392448955798</v>
      </c>
      <c r="J44" s="11">
        <v>153</v>
      </c>
      <c r="K44" s="8">
        <v>165</v>
      </c>
      <c r="L44" s="8">
        <v>185</v>
      </c>
      <c r="M44" s="8">
        <v>197</v>
      </c>
      <c r="N44" s="24">
        <v>44</v>
      </c>
      <c r="O44" s="19">
        <v>4.0087350112143302E-2</v>
      </c>
      <c r="P44" s="5">
        <v>3.6429162805738602E-2</v>
      </c>
      <c r="Q44" s="5">
        <v>4.1278660052682499E-2</v>
      </c>
      <c r="W44" s="2" t="s">
        <v>11</v>
      </c>
    </row>
    <row r="45" spans="1:23" ht="13.05" customHeight="1" x14ac:dyDescent="0.2">
      <c r="A45" s="2">
        <v>2009</v>
      </c>
      <c r="B45" s="11">
        <v>1</v>
      </c>
      <c r="C45" s="2">
        <v>64</v>
      </c>
      <c r="D45" s="8" t="s">
        <v>38</v>
      </c>
      <c r="E45" s="8" t="s">
        <v>21</v>
      </c>
      <c r="F45" s="2">
        <v>168</v>
      </c>
      <c r="G45" s="3">
        <v>12.5696963828512</v>
      </c>
      <c r="H45" s="4">
        <v>174.01114876148799</v>
      </c>
      <c r="I45" s="4">
        <v>-8.0132763856982194</v>
      </c>
      <c r="J45" s="11">
        <v>145</v>
      </c>
      <c r="K45" s="8">
        <v>160</v>
      </c>
      <c r="L45" s="8">
        <v>187</v>
      </c>
      <c r="M45" s="8">
        <v>202</v>
      </c>
      <c r="N45" s="24">
        <v>57</v>
      </c>
      <c r="O45" s="19">
        <v>2.7184877985851799E-2</v>
      </c>
      <c r="P45" s="5">
        <v>2.50616646826879E-2</v>
      </c>
      <c r="Q45" s="5">
        <v>2.9503403996044501E-2</v>
      </c>
      <c r="W45" s="2" t="s">
        <v>11</v>
      </c>
    </row>
    <row r="46" spans="1:23" ht="13.05" customHeight="1" x14ac:dyDescent="0.2">
      <c r="A46" s="2">
        <v>2010</v>
      </c>
      <c r="B46" s="11">
        <v>1</v>
      </c>
      <c r="C46" s="2">
        <v>65</v>
      </c>
      <c r="D46" s="8" t="s">
        <v>42</v>
      </c>
      <c r="E46" s="8" t="s">
        <v>39</v>
      </c>
      <c r="F46" s="2">
        <v>166</v>
      </c>
      <c r="G46" s="3">
        <v>15.0586693179403</v>
      </c>
      <c r="H46" s="4">
        <v>170.16946319430801</v>
      </c>
      <c r="I46" s="4">
        <v>-9.2356799701634902</v>
      </c>
      <c r="J46" s="11">
        <v>136</v>
      </c>
      <c r="K46" s="8">
        <v>154</v>
      </c>
      <c r="L46" s="8">
        <v>185</v>
      </c>
      <c r="M46" s="8">
        <v>203</v>
      </c>
      <c r="N46" s="24">
        <v>67</v>
      </c>
      <c r="O46" s="19">
        <v>2.57298890979939E-2</v>
      </c>
      <c r="P46" s="5">
        <v>2.4217787850787102E-2</v>
      </c>
      <c r="Q46" s="5">
        <v>2.70261481888323E-2</v>
      </c>
      <c r="W46" s="2" t="s">
        <v>11</v>
      </c>
    </row>
    <row r="47" spans="1:23" ht="13.05" customHeight="1" x14ac:dyDescent="0.2">
      <c r="A47" s="2">
        <v>2011</v>
      </c>
      <c r="B47" s="11">
        <v>1</v>
      </c>
      <c r="C47" s="2">
        <v>66</v>
      </c>
      <c r="D47" s="8" t="s">
        <v>40</v>
      </c>
      <c r="E47" s="8" t="s">
        <v>39</v>
      </c>
      <c r="F47" s="2">
        <v>166</v>
      </c>
      <c r="G47" s="3">
        <v>17.466762311220101</v>
      </c>
      <c r="H47" s="4">
        <v>167.88597929320099</v>
      </c>
      <c r="I47" s="4">
        <v>-7.3375891676090497</v>
      </c>
      <c r="J47" s="11">
        <v>141</v>
      </c>
      <c r="K47" s="8">
        <v>155</v>
      </c>
      <c r="L47" s="8">
        <v>180</v>
      </c>
      <c r="M47" s="8">
        <v>194</v>
      </c>
      <c r="N47" s="24">
        <v>53</v>
      </c>
      <c r="O47" s="19">
        <v>3.3502225444662997E-2</v>
      </c>
      <c r="P47" s="5">
        <v>3.0844615095944501E-2</v>
      </c>
      <c r="Q47" s="5">
        <v>3.5510539227078898E-2</v>
      </c>
      <c r="W47" s="2" t="s">
        <v>11</v>
      </c>
    </row>
    <row r="48" spans="1:23" ht="13.05" customHeight="1" x14ac:dyDescent="0.2">
      <c r="A48" s="2">
        <v>2012</v>
      </c>
      <c r="B48" s="11">
        <v>1</v>
      </c>
      <c r="C48" s="2">
        <v>66</v>
      </c>
      <c r="D48" s="8" t="s">
        <v>40</v>
      </c>
      <c r="E48" s="8" t="s">
        <v>39</v>
      </c>
      <c r="F48" s="2">
        <v>168</v>
      </c>
      <c r="G48" s="3">
        <v>17.036620499344899</v>
      </c>
      <c r="H48" s="4">
        <v>161.38725110620601</v>
      </c>
      <c r="I48" s="4">
        <v>-9.0181526548395201</v>
      </c>
      <c r="J48" s="11">
        <v>128</v>
      </c>
      <c r="K48" s="8">
        <v>146</v>
      </c>
      <c r="L48" s="8">
        <v>176</v>
      </c>
      <c r="M48" s="8">
        <v>193</v>
      </c>
      <c r="N48" s="24">
        <v>65</v>
      </c>
      <c r="O48" s="19">
        <v>2.43016976927934E-2</v>
      </c>
      <c r="P48" s="5">
        <v>1.9797055753697699E-2</v>
      </c>
      <c r="Q48" s="5">
        <v>2.6550394125100699E-2</v>
      </c>
      <c r="W48" s="2" t="s">
        <v>11</v>
      </c>
    </row>
    <row r="49" spans="1:23" ht="13.05" customHeight="1" x14ac:dyDescent="0.2">
      <c r="A49" s="2">
        <v>2013</v>
      </c>
      <c r="B49" s="11">
        <v>1</v>
      </c>
      <c r="C49" s="2">
        <v>66</v>
      </c>
      <c r="D49" s="8" t="s">
        <v>40</v>
      </c>
      <c r="E49" s="8" t="s">
        <v>25</v>
      </c>
      <c r="F49" s="2">
        <v>167</v>
      </c>
      <c r="G49" s="3">
        <v>15.327045004757901</v>
      </c>
      <c r="H49" s="4">
        <v>168.55992229684401</v>
      </c>
      <c r="I49" s="4">
        <v>-8.2580802117425698</v>
      </c>
      <c r="J49" s="11">
        <v>138</v>
      </c>
      <c r="K49" s="8">
        <v>154</v>
      </c>
      <c r="L49" s="8">
        <v>182</v>
      </c>
      <c r="M49" s="8">
        <v>198</v>
      </c>
      <c r="N49" s="24">
        <v>60</v>
      </c>
      <c r="O49" s="19">
        <v>2.9996005849418299E-2</v>
      </c>
      <c r="P49" s="5">
        <v>2.72319526144452E-2</v>
      </c>
      <c r="Q49" s="5">
        <v>3.0986722709911201E-2</v>
      </c>
      <c r="W49" s="2" t="s">
        <v>11</v>
      </c>
    </row>
    <row r="50" spans="1:23" ht="13.05" customHeight="1" x14ac:dyDescent="0.2">
      <c r="A50" s="2">
        <v>2014</v>
      </c>
      <c r="B50" s="11">
        <v>1</v>
      </c>
      <c r="C50" s="2">
        <v>64</v>
      </c>
      <c r="D50" s="8" t="s">
        <v>42</v>
      </c>
      <c r="E50" s="8" t="s">
        <v>25</v>
      </c>
      <c r="F50" s="2">
        <v>166</v>
      </c>
      <c r="G50" s="3">
        <v>16.748807121089001</v>
      </c>
      <c r="H50" s="4">
        <v>166.65216805234499</v>
      </c>
      <c r="I50" s="4">
        <v>-7.9318516100957499</v>
      </c>
      <c r="J50" s="11">
        <v>138</v>
      </c>
      <c r="K50" s="8">
        <v>153</v>
      </c>
      <c r="L50" s="8">
        <v>179</v>
      </c>
      <c r="M50" s="8">
        <v>195</v>
      </c>
      <c r="N50" s="24">
        <v>57</v>
      </c>
      <c r="O50" s="19">
        <v>3.1454920193065797E-2</v>
      </c>
      <c r="P50" s="5">
        <v>2.7801503352581299E-2</v>
      </c>
      <c r="Q50" s="5">
        <v>3.3661486921490701E-2</v>
      </c>
      <c r="W50" s="2" t="s">
        <v>11</v>
      </c>
    </row>
    <row r="51" spans="1:23" ht="13.05" customHeight="1" x14ac:dyDescent="0.2">
      <c r="A51" s="2">
        <v>2015</v>
      </c>
      <c r="B51" s="11">
        <v>1</v>
      </c>
      <c r="C51" s="2">
        <v>60</v>
      </c>
      <c r="D51" s="8" t="s">
        <v>43</v>
      </c>
      <c r="E51" s="8" t="s">
        <v>25</v>
      </c>
      <c r="F51" s="2">
        <v>167</v>
      </c>
      <c r="G51" s="3">
        <v>15.8985240383488</v>
      </c>
      <c r="H51" s="4">
        <v>172.16221210072399</v>
      </c>
      <c r="I51" s="4">
        <v>-7.2252667326505096</v>
      </c>
      <c r="J51" s="11">
        <v>146</v>
      </c>
      <c r="K51" s="8">
        <v>160</v>
      </c>
      <c r="L51" s="8">
        <v>184</v>
      </c>
      <c r="M51" s="8">
        <v>198</v>
      </c>
      <c r="N51" s="24">
        <v>52</v>
      </c>
      <c r="O51" s="19">
        <v>3.0527505035305501E-2</v>
      </c>
      <c r="P51" s="5">
        <v>2.9089036394415901E-2</v>
      </c>
      <c r="Q51" s="5">
        <v>3.1917973523206702E-2</v>
      </c>
      <c r="W51" s="2" t="s">
        <v>11</v>
      </c>
    </row>
    <row r="52" spans="1:23" ht="13.05" customHeight="1" x14ac:dyDescent="0.2">
      <c r="A52" s="2">
        <v>2016</v>
      </c>
      <c r="B52" s="11">
        <v>1</v>
      </c>
      <c r="C52" s="2">
        <v>65</v>
      </c>
      <c r="D52" s="8" t="s">
        <v>40</v>
      </c>
      <c r="E52" s="8" t="s">
        <v>19</v>
      </c>
      <c r="F52" s="2">
        <v>169</v>
      </c>
      <c r="G52" s="3">
        <v>20.2109970929145</v>
      </c>
      <c r="H52" s="4">
        <v>163.60054251429699</v>
      </c>
      <c r="I52" s="4">
        <v>-11.6343334934796</v>
      </c>
      <c r="J52" s="11">
        <v>121</v>
      </c>
      <c r="K52" s="8">
        <v>143</v>
      </c>
      <c r="L52" s="8">
        <v>183</v>
      </c>
      <c r="M52" s="8">
        <v>205</v>
      </c>
      <c r="N52" s="24">
        <v>84</v>
      </c>
      <c r="O52" s="19">
        <v>2.0368738328603999E-2</v>
      </c>
      <c r="P52" s="5">
        <v>1.8198337457452401E-2</v>
      </c>
      <c r="Q52" s="5">
        <v>2.15024029295658E-2</v>
      </c>
      <c r="W52" s="2" t="s">
        <v>11</v>
      </c>
    </row>
    <row r="53" spans="1:23" s="82" customFormat="1" ht="13.05" customHeight="1" x14ac:dyDescent="0.2">
      <c r="A53" s="41">
        <v>2017</v>
      </c>
      <c r="B53" s="42">
        <v>1</v>
      </c>
      <c r="C53" s="41">
        <v>65</v>
      </c>
      <c r="D53" s="43" t="s">
        <v>42</v>
      </c>
      <c r="E53" s="43" t="s">
        <v>27</v>
      </c>
      <c r="F53" s="41">
        <v>164</v>
      </c>
      <c r="G53" s="44">
        <v>14.218174141077499</v>
      </c>
      <c r="H53" s="45">
        <v>174.116965513911</v>
      </c>
      <c r="I53" s="45">
        <v>-4.78460585616088</v>
      </c>
      <c r="J53" s="42">
        <v>157</v>
      </c>
      <c r="K53" s="43">
        <v>166</v>
      </c>
      <c r="L53" s="43">
        <v>181</v>
      </c>
      <c r="M53" s="43">
        <v>191</v>
      </c>
      <c r="N53" s="46">
        <v>34</v>
      </c>
      <c r="O53" s="47">
        <v>2.0100392024202201E-2</v>
      </c>
      <c r="P53" s="48">
        <v>2.0143443054118301E-2</v>
      </c>
      <c r="Q53" s="48">
        <v>2.3157282837563999E-2</v>
      </c>
      <c r="R53" s="81"/>
      <c r="W53" s="41" t="s">
        <v>4</v>
      </c>
    </row>
    <row r="54" spans="1:23" ht="13.05" customHeight="1" x14ac:dyDescent="0.2">
      <c r="A54" s="2">
        <v>2018</v>
      </c>
      <c r="B54" s="11">
        <v>1</v>
      </c>
      <c r="C54" s="2">
        <v>65</v>
      </c>
      <c r="D54" s="8" t="s">
        <v>32</v>
      </c>
      <c r="E54" s="8" t="s">
        <v>34</v>
      </c>
      <c r="F54" s="2">
        <v>172</v>
      </c>
      <c r="G54" s="3">
        <v>13.230599577883</v>
      </c>
      <c r="H54" s="4">
        <v>175.007366427319</v>
      </c>
      <c r="I54" s="4">
        <v>-5.3474594153148702</v>
      </c>
      <c r="J54" s="11">
        <v>155</v>
      </c>
      <c r="K54" s="8">
        <v>166</v>
      </c>
      <c r="L54" s="8">
        <v>183</v>
      </c>
      <c r="M54" s="8">
        <v>194</v>
      </c>
      <c r="N54" s="24">
        <v>39</v>
      </c>
      <c r="O54" s="19">
        <v>4.32165936570965E-2</v>
      </c>
      <c r="P54" s="5">
        <v>3.9235979760014403E-2</v>
      </c>
      <c r="Q54" s="5">
        <v>4.6335646430132903E-2</v>
      </c>
      <c r="W54" s="2" t="s">
        <v>11</v>
      </c>
    </row>
    <row r="55" spans="1:23" s="82" customFormat="1" ht="13.05" customHeight="1" x14ac:dyDescent="0.2">
      <c r="A55" s="41">
        <v>2019</v>
      </c>
      <c r="B55" s="42">
        <v>1</v>
      </c>
      <c r="C55" s="41">
        <v>65</v>
      </c>
      <c r="D55" s="43" t="s">
        <v>44</v>
      </c>
      <c r="E55" s="43" t="s">
        <v>35</v>
      </c>
      <c r="F55" s="41">
        <v>162</v>
      </c>
      <c r="G55" s="44">
        <v>15.301284920326101</v>
      </c>
      <c r="H55" s="45">
        <v>176.40098232647799</v>
      </c>
      <c r="I55" s="45">
        <v>-7.1059251816776099</v>
      </c>
      <c r="J55" s="42">
        <v>150</v>
      </c>
      <c r="K55" s="43">
        <v>164</v>
      </c>
      <c r="L55" s="43">
        <v>188</v>
      </c>
      <c r="M55" s="43">
        <v>201</v>
      </c>
      <c r="N55" s="46">
        <v>51</v>
      </c>
      <c r="O55" s="47">
        <v>1.4482504710308101E-2</v>
      </c>
      <c r="P55" s="48">
        <v>1.4019357600676E-2</v>
      </c>
      <c r="Q55" s="48">
        <v>1.64899679551542E-2</v>
      </c>
      <c r="R55" s="81"/>
      <c r="W55" s="41" t="s">
        <v>4</v>
      </c>
    </row>
    <row r="56" spans="1:23" ht="13.05" customHeight="1" x14ac:dyDescent="0.2">
      <c r="A56" s="2">
        <v>2020</v>
      </c>
      <c r="B56" s="49" t="s">
        <v>14</v>
      </c>
      <c r="C56" s="50"/>
      <c r="D56" s="50"/>
      <c r="E56" s="50"/>
      <c r="F56" s="51"/>
      <c r="G56" s="3">
        <v>16.004979225396401</v>
      </c>
      <c r="H56" s="4">
        <v>172.71731605517999</v>
      </c>
      <c r="I56" s="4">
        <v>-2.41652087778525</v>
      </c>
      <c r="J56" s="11">
        <v>164</v>
      </c>
      <c r="K56" s="8">
        <v>169</v>
      </c>
      <c r="L56" s="8">
        <v>176</v>
      </c>
      <c r="M56" s="8">
        <v>181</v>
      </c>
      <c r="N56" s="24">
        <v>17</v>
      </c>
      <c r="O56" s="50" t="s">
        <v>14</v>
      </c>
      <c r="P56" s="50"/>
      <c r="Q56" s="50"/>
      <c r="R56" s="8"/>
      <c r="S56" s="8"/>
      <c r="T56" s="8"/>
      <c r="U56" s="8"/>
      <c r="V56" s="8"/>
    </row>
    <row r="57" spans="1:23" ht="13.05" customHeight="1" x14ac:dyDescent="0.2">
      <c r="A57" s="2">
        <v>2021</v>
      </c>
      <c r="B57" s="11">
        <v>1</v>
      </c>
      <c r="C57" s="2">
        <v>61</v>
      </c>
      <c r="D57" s="75" t="s">
        <v>43</v>
      </c>
      <c r="E57" s="75" t="s">
        <v>23</v>
      </c>
      <c r="F57" s="2">
        <v>169</v>
      </c>
      <c r="G57" s="3">
        <v>13.9264824626357</v>
      </c>
      <c r="H57" s="4">
        <v>167.08712021865799</v>
      </c>
      <c r="I57" s="4">
        <v>-6.2363643407435001</v>
      </c>
      <c r="J57" s="11">
        <v>144</v>
      </c>
      <c r="K57" s="8">
        <v>156</v>
      </c>
      <c r="L57" s="8">
        <v>177</v>
      </c>
      <c r="M57" s="8">
        <v>189</v>
      </c>
      <c r="N57" s="24">
        <v>45</v>
      </c>
      <c r="O57" s="19">
        <v>3.9139651704636E-2</v>
      </c>
      <c r="P57" s="5">
        <v>3.5020568451830998E-2</v>
      </c>
      <c r="Q57" s="5">
        <v>4.0125156209637101E-2</v>
      </c>
      <c r="W57" s="2" t="s">
        <v>11</v>
      </c>
    </row>
    <row r="58" spans="1:23" s="83" customFormat="1" ht="13.05" customHeight="1" x14ac:dyDescent="0.2">
      <c r="A58" s="25">
        <v>2022</v>
      </c>
      <c r="B58" s="26">
        <v>1</v>
      </c>
      <c r="C58" s="25">
        <v>65</v>
      </c>
      <c r="D58" s="83" t="s">
        <v>27</v>
      </c>
      <c r="E58" s="83" t="s">
        <v>28</v>
      </c>
      <c r="F58" s="25">
        <v>171</v>
      </c>
      <c r="G58" s="27">
        <v>18.170516001763499</v>
      </c>
      <c r="H58" s="28">
        <v>161.18390070662099</v>
      </c>
      <c r="I58" s="28">
        <v>-9.3120644061043407</v>
      </c>
      <c r="J58" s="26">
        <v>127</v>
      </c>
      <c r="K58" s="29">
        <v>145</v>
      </c>
      <c r="L58" s="29">
        <v>176</v>
      </c>
      <c r="M58" s="29">
        <v>194</v>
      </c>
      <c r="N58" s="30">
        <v>67</v>
      </c>
      <c r="O58" s="31">
        <v>2.0578870363875301E-2</v>
      </c>
      <c r="P58" s="32">
        <v>1.39955065501104E-2</v>
      </c>
      <c r="Q58" s="32">
        <v>2.8926636626373001E-2</v>
      </c>
      <c r="R58" s="84"/>
      <c r="W58" s="25" t="s">
        <v>11</v>
      </c>
    </row>
    <row r="59" spans="1:23" ht="13.05" customHeight="1" x14ac:dyDescent="0.2">
      <c r="A59" s="2" t="s">
        <v>50</v>
      </c>
      <c r="C59" s="73">
        <f>AVERAGE(C4:C13,C15,C17, C20,C22,C23, C26,C33,C36:C58)</f>
        <v>63.472222222222221</v>
      </c>
      <c r="F59" s="73">
        <f>AVERAGE(F4:F13,F15,F17, F20,F22,F23, F26,F33,F36:F58)</f>
        <v>170.80555555555554</v>
      </c>
      <c r="G59" s="4">
        <f t="shared" ref="G59:Q61" si="0">AVERAGE(G4:G13,G15,G17, G20,G22,G23, G26,G33,G36:G58)</f>
        <v>16.094847938000683</v>
      </c>
      <c r="H59" s="4">
        <f t="shared" si="0"/>
        <v>171.15573591266553</v>
      </c>
      <c r="I59" s="4">
        <f t="shared" si="0"/>
        <v>-9.6882790369787717</v>
      </c>
      <c r="J59" s="73">
        <f t="shared" si="0"/>
        <v>135.69999999999999</v>
      </c>
      <c r="K59" s="73">
        <f t="shared" si="0"/>
        <v>154.30000000000001</v>
      </c>
      <c r="L59" s="73">
        <f t="shared" si="0"/>
        <v>186.92500000000001</v>
      </c>
      <c r="M59" s="73">
        <f t="shared" si="0"/>
        <v>205.625</v>
      </c>
      <c r="N59" s="73">
        <f t="shared" si="0"/>
        <v>69.924999999999997</v>
      </c>
      <c r="O59" s="5">
        <f t="shared" si="0"/>
        <v>2.4977130389062744E-2</v>
      </c>
      <c r="P59" s="5">
        <f t="shared" si="0"/>
        <v>2.2699129415908122E-2</v>
      </c>
      <c r="Q59" s="5">
        <f t="shared" si="0"/>
        <v>2.6324135881998802E-2</v>
      </c>
    </row>
    <row r="60" spans="1:23" ht="13.05" customHeight="1" x14ac:dyDescent="0.2">
      <c r="A60" s="2" t="s">
        <v>53</v>
      </c>
      <c r="F60" s="2">
        <f>MIN(F4:F13,F15,F17, F20,F22,F23, F26,F33,F36:F58)</f>
        <v>162</v>
      </c>
      <c r="G60" s="2">
        <f t="shared" ref="G60:Q60" si="1">MIN(G4:G13,G15,G17, G20,G22,G23, G26,G33,G36:G58)</f>
        <v>12.5696963828512</v>
      </c>
      <c r="H60" s="2">
        <f t="shared" si="1"/>
        <v>161.18390070662099</v>
      </c>
      <c r="I60" s="2">
        <f t="shared" si="1"/>
        <v>-16.3644045577716</v>
      </c>
      <c r="J60" s="2">
        <f t="shared" si="1"/>
        <v>108</v>
      </c>
      <c r="K60" s="2">
        <f t="shared" si="1"/>
        <v>136</v>
      </c>
      <c r="L60" s="2">
        <f t="shared" si="1"/>
        <v>176</v>
      </c>
      <c r="M60" s="2">
        <f t="shared" si="1"/>
        <v>181</v>
      </c>
      <c r="N60" s="2">
        <f t="shared" si="1"/>
        <v>17</v>
      </c>
      <c r="O60" s="2">
        <f t="shared" si="1"/>
        <v>1.02178214733081E-2</v>
      </c>
      <c r="P60" s="2">
        <f t="shared" si="1"/>
        <v>9.4317570070440501E-3</v>
      </c>
      <c r="Q60" s="2">
        <f t="shared" si="1"/>
        <v>1.0280433716036401E-2</v>
      </c>
    </row>
    <row r="61" spans="1:23" ht="13.05" customHeight="1" x14ac:dyDescent="0.2">
      <c r="A61" s="2" t="s">
        <v>54</v>
      </c>
      <c r="F61" s="2">
        <f>MAX(F4:F13,F15,F17, F20,F22,F23, F26,F33,F36:F58)</f>
        <v>186</v>
      </c>
      <c r="G61" s="2">
        <f t="shared" ref="G61:Q61" si="2">MAX(G4:G13,G15,G17, G20,G22,G23, G26,G33,G36:G58)</f>
        <v>21.345134660951601</v>
      </c>
      <c r="H61" s="2">
        <f t="shared" si="2"/>
        <v>184.20094843536401</v>
      </c>
      <c r="I61" s="2">
        <f t="shared" si="2"/>
        <v>-2.41652087778525</v>
      </c>
      <c r="J61" s="2">
        <f t="shared" si="2"/>
        <v>164</v>
      </c>
      <c r="K61" s="2">
        <f t="shared" si="2"/>
        <v>174</v>
      </c>
      <c r="L61" s="2">
        <f t="shared" si="2"/>
        <v>201</v>
      </c>
      <c r="M61" s="2">
        <f t="shared" si="2"/>
        <v>233</v>
      </c>
      <c r="N61" s="2">
        <f t="shared" si="2"/>
        <v>119</v>
      </c>
      <c r="O61" s="2">
        <f t="shared" si="2"/>
        <v>4.32165936570965E-2</v>
      </c>
      <c r="P61" s="2">
        <f t="shared" si="2"/>
        <v>3.9235979760014403E-2</v>
      </c>
      <c r="Q61" s="2">
        <f t="shared" si="2"/>
        <v>4.6335646430132903E-2</v>
      </c>
    </row>
  </sheetData>
  <mergeCells count="20">
    <mergeCell ref="A30:A32"/>
    <mergeCell ref="G30:I31"/>
    <mergeCell ref="O30:Q31"/>
    <mergeCell ref="B1:F1"/>
    <mergeCell ref="B30:F30"/>
    <mergeCell ref="D31:F31"/>
    <mergeCell ref="G1:I2"/>
    <mergeCell ref="A1:A3"/>
    <mergeCell ref="D2:F2"/>
    <mergeCell ref="J1:N2"/>
    <mergeCell ref="O1:Q2"/>
    <mergeCell ref="B56:F56"/>
    <mergeCell ref="O56:Q56"/>
    <mergeCell ref="B5:F7"/>
    <mergeCell ref="O5:Q7"/>
    <mergeCell ref="B25:F25"/>
    <mergeCell ref="B28:F28"/>
    <mergeCell ref="O25:Q25"/>
    <mergeCell ref="O28:Q28"/>
    <mergeCell ref="J30:N3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table_nlmeAR_2022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Lehoux, Caroline</cp:lastModifiedBy>
  <dcterms:created xsi:type="dcterms:W3CDTF">2023-01-25T14:45:19Z</dcterms:created>
  <dcterms:modified xsi:type="dcterms:W3CDTF">2023-07-04T19:55:24Z</dcterms:modified>
</cp:coreProperties>
</file>